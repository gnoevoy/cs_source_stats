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1.xml" ContentType="application/vnd.openxmlformats-officedocument.drawingml.chart+xml"/>
  <Override PartName="/xl/charts/style5.xml" ContentType="application/vnd.ms-office.chartstyle+xml"/>
  <Override PartName="/xl/charts/colors5.xml" ContentType="application/vnd.ms-office.chartcolorstyle+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1c80a26ae6f1639e/Desktop/cs_project/"/>
    </mc:Choice>
  </mc:AlternateContent>
  <xr:revisionPtr revIDLastSave="3223" documentId="8_{190CA411-9318-4868-ABEB-92FA7E9AB33B}" xr6:coauthVersionLast="47" xr6:coauthVersionMax="47" xr10:uidLastSave="{AD104082-7F24-4079-9C11-7DB74261F6AD}"/>
  <bookViews>
    <workbookView xWindow="7515" yWindow="240" windowWidth="30750" windowHeight="20505" activeTab="1" xr2:uid="{215279D9-1AB8-4892-9426-95EF0C96EA2B}"/>
  </bookViews>
  <sheets>
    <sheet name="sessions" sheetId="2" r:id="rId1"/>
    <sheet name="calculations" sheetId="4" r:id="rId2"/>
    <sheet name="correlation_table" sheetId="5" r:id="rId3"/>
  </sheets>
  <definedNames>
    <definedName name="_xlnm._FilterDatabase" localSheetId="2" hidden="1">correlation_table!$A$1:$M$111</definedName>
    <definedName name="_xlchart.v1.0" hidden="1">sessions!$T$1</definedName>
    <definedName name="_xlchart.v1.1" hidden="1">sessions!$T$2:$T$111</definedName>
    <definedName name="_xlchart.v1.2" hidden="1">sessions!$G$1</definedName>
    <definedName name="_xlchart.v1.3" hidden="1">sessions!$G$2:$G$111</definedName>
    <definedName name="_xlchart.v1.4" hidden="1">sessions!$U$1</definedName>
    <definedName name="_xlchart.v1.5" hidden="1">sessions!$U$2:$U$111</definedName>
    <definedName name="_xlchart.v1.6" hidden="1">sessions!$S$1</definedName>
    <definedName name="_xlchart.v1.7" hidden="1">sessions!$S$2:$S$111</definedName>
    <definedName name="ExternalData_1" localSheetId="0" hidden="1">sessions!$A$1:$H$111</definedName>
    <definedName name="NativeTimeline_session_start">#N/A</definedName>
    <definedName name="Slicer_day_part">#N/A</definedName>
    <definedName name="Slicer_duration_category">#N/A</definedName>
    <definedName name="Slicer_is_weekend">#N/A</definedName>
    <definedName name="Slicer_session_qual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M2" i="2"/>
  <c r="O2" i="2" s="1"/>
  <c r="M3" i="2"/>
  <c r="O3" i="2" s="1"/>
  <c r="M4" i="2"/>
  <c r="O4" i="2" s="1"/>
  <c r="M5" i="2"/>
  <c r="O5" i="2" s="1"/>
  <c r="M6" i="2"/>
  <c r="O6" i="2" s="1"/>
  <c r="M7" i="2"/>
  <c r="O7" i="2" s="1"/>
  <c r="M8" i="2"/>
  <c r="O8" i="2" s="1"/>
  <c r="M9" i="2"/>
  <c r="O9" i="2" s="1"/>
  <c r="M10" i="2"/>
  <c r="O10" i="2" s="1"/>
  <c r="M11" i="2"/>
  <c r="O11" i="2" s="1"/>
  <c r="M12" i="2"/>
  <c r="O12" i="2" s="1"/>
  <c r="M13" i="2"/>
  <c r="O13" i="2" s="1"/>
  <c r="M14" i="2"/>
  <c r="O14" i="2" s="1"/>
  <c r="M15" i="2"/>
  <c r="O15" i="2" s="1"/>
  <c r="M16" i="2"/>
  <c r="O16" i="2" s="1"/>
  <c r="M17" i="2"/>
  <c r="O17" i="2" s="1"/>
  <c r="M18" i="2"/>
  <c r="O18" i="2" s="1"/>
  <c r="M19" i="2"/>
  <c r="O19" i="2" s="1"/>
  <c r="M20" i="2"/>
  <c r="O20" i="2" s="1"/>
  <c r="M21" i="2"/>
  <c r="O21" i="2" s="1"/>
  <c r="M22" i="2"/>
  <c r="O22" i="2" s="1"/>
  <c r="M23" i="2"/>
  <c r="O23" i="2" s="1"/>
  <c r="M24" i="2"/>
  <c r="O24" i="2" s="1"/>
  <c r="M25" i="2"/>
  <c r="O25" i="2" s="1"/>
  <c r="M26" i="2"/>
  <c r="O26" i="2" s="1"/>
  <c r="M27" i="2"/>
  <c r="O27" i="2" s="1"/>
  <c r="M28" i="2"/>
  <c r="O28" i="2" s="1"/>
  <c r="M29" i="2"/>
  <c r="O29" i="2" s="1"/>
  <c r="M30" i="2"/>
  <c r="O30" i="2" s="1"/>
  <c r="M31" i="2"/>
  <c r="O31" i="2" s="1"/>
  <c r="M32" i="2"/>
  <c r="O32" i="2" s="1"/>
  <c r="M33" i="2"/>
  <c r="O33" i="2" s="1"/>
  <c r="M34" i="2"/>
  <c r="O34" i="2" s="1"/>
  <c r="M35" i="2"/>
  <c r="O35" i="2" s="1"/>
  <c r="M36" i="2"/>
  <c r="O36" i="2" s="1"/>
  <c r="M37" i="2"/>
  <c r="O37" i="2" s="1"/>
  <c r="M38" i="2"/>
  <c r="O38" i="2" s="1"/>
  <c r="M39" i="2"/>
  <c r="O39" i="2" s="1"/>
  <c r="M40" i="2"/>
  <c r="O40" i="2" s="1"/>
  <c r="M41" i="2"/>
  <c r="O41" i="2" s="1"/>
  <c r="M42" i="2"/>
  <c r="O42" i="2" s="1"/>
  <c r="M43" i="2"/>
  <c r="O43" i="2" s="1"/>
  <c r="M44" i="2"/>
  <c r="O44" i="2" s="1"/>
  <c r="M45" i="2"/>
  <c r="O45" i="2" s="1"/>
  <c r="M46" i="2"/>
  <c r="O46" i="2" s="1"/>
  <c r="M47" i="2"/>
  <c r="O47" i="2" s="1"/>
  <c r="M48" i="2"/>
  <c r="O48" i="2" s="1"/>
  <c r="M49" i="2"/>
  <c r="O49" i="2" s="1"/>
  <c r="M50" i="2"/>
  <c r="O50" i="2" s="1"/>
  <c r="M51" i="2"/>
  <c r="O51" i="2" s="1"/>
  <c r="M52" i="2"/>
  <c r="O52" i="2" s="1"/>
  <c r="M53" i="2"/>
  <c r="O53" i="2" s="1"/>
  <c r="M54" i="2"/>
  <c r="O54" i="2" s="1"/>
  <c r="M55" i="2"/>
  <c r="O55" i="2" s="1"/>
  <c r="M56" i="2"/>
  <c r="O56" i="2" s="1"/>
  <c r="M57" i="2"/>
  <c r="O57" i="2" s="1"/>
  <c r="M58" i="2"/>
  <c r="O58" i="2" s="1"/>
  <c r="M59" i="2"/>
  <c r="O59" i="2" s="1"/>
  <c r="M60" i="2"/>
  <c r="O60" i="2" s="1"/>
  <c r="M61" i="2"/>
  <c r="O61" i="2" s="1"/>
  <c r="M62" i="2"/>
  <c r="O62" i="2" s="1"/>
  <c r="M63" i="2"/>
  <c r="O63" i="2" s="1"/>
  <c r="M64" i="2"/>
  <c r="O64" i="2" s="1"/>
  <c r="M65" i="2"/>
  <c r="O65" i="2" s="1"/>
  <c r="M66" i="2"/>
  <c r="O66" i="2" s="1"/>
  <c r="M67" i="2"/>
  <c r="O67" i="2" s="1"/>
  <c r="M68" i="2"/>
  <c r="O68" i="2" s="1"/>
  <c r="M69" i="2"/>
  <c r="O69" i="2" s="1"/>
  <c r="M70" i="2"/>
  <c r="O70" i="2" s="1"/>
  <c r="M71" i="2"/>
  <c r="O71" i="2" s="1"/>
  <c r="M72" i="2"/>
  <c r="O72" i="2" s="1"/>
  <c r="M73" i="2"/>
  <c r="O73" i="2" s="1"/>
  <c r="M74" i="2"/>
  <c r="O74" i="2" s="1"/>
  <c r="M75" i="2"/>
  <c r="O75" i="2" s="1"/>
  <c r="M76" i="2"/>
  <c r="O76" i="2" s="1"/>
  <c r="M77" i="2"/>
  <c r="O77" i="2" s="1"/>
  <c r="M78" i="2"/>
  <c r="O78" i="2" s="1"/>
  <c r="M79" i="2"/>
  <c r="O79" i="2" s="1"/>
  <c r="M80" i="2"/>
  <c r="O80" i="2" s="1"/>
  <c r="M81" i="2"/>
  <c r="O81" i="2" s="1"/>
  <c r="M82" i="2"/>
  <c r="O82" i="2" s="1"/>
  <c r="M83" i="2"/>
  <c r="O83" i="2" s="1"/>
  <c r="M84" i="2"/>
  <c r="O84" i="2" s="1"/>
  <c r="M85" i="2"/>
  <c r="O85" i="2" s="1"/>
  <c r="M86" i="2"/>
  <c r="O86" i="2" s="1"/>
  <c r="M87" i="2"/>
  <c r="O87" i="2" s="1"/>
  <c r="M88" i="2"/>
  <c r="O88" i="2" s="1"/>
  <c r="M89" i="2"/>
  <c r="O89" i="2" s="1"/>
  <c r="M90" i="2"/>
  <c r="O90" i="2" s="1"/>
  <c r="M91" i="2"/>
  <c r="O91" i="2" s="1"/>
  <c r="M92" i="2"/>
  <c r="O92" i="2" s="1"/>
  <c r="M93" i="2"/>
  <c r="O93" i="2" s="1"/>
  <c r="M94" i="2"/>
  <c r="O94" i="2" s="1"/>
  <c r="M95" i="2"/>
  <c r="O95" i="2" s="1"/>
  <c r="M96" i="2"/>
  <c r="O96" i="2" s="1"/>
  <c r="M97" i="2"/>
  <c r="O97" i="2" s="1"/>
  <c r="M98" i="2"/>
  <c r="O98" i="2" s="1"/>
  <c r="M99" i="2"/>
  <c r="O99" i="2" s="1"/>
  <c r="M100" i="2"/>
  <c r="O100" i="2" s="1"/>
  <c r="M101" i="2"/>
  <c r="O101" i="2" s="1"/>
  <c r="M102" i="2"/>
  <c r="O102" i="2" s="1"/>
  <c r="M103" i="2"/>
  <c r="O103" i="2" s="1"/>
  <c r="M104" i="2"/>
  <c r="O104" i="2" s="1"/>
  <c r="M105" i="2"/>
  <c r="O105" i="2" s="1"/>
  <c r="M106" i="2"/>
  <c r="O106" i="2" s="1"/>
  <c r="M107" i="2"/>
  <c r="O107" i="2" s="1"/>
  <c r="M108" i="2"/>
  <c r="O108" i="2" s="1"/>
  <c r="M109" i="2"/>
  <c r="O109" i="2" s="1"/>
  <c r="M110" i="2"/>
  <c r="O110" i="2" s="1"/>
  <c r="M111" i="2"/>
  <c r="O111" i="2" s="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P2" i="2"/>
  <c r="Q2" i="2" s="1" a="1"/>
  <c r="P3" i="2"/>
  <c r="Q3" i="2" s="1" a="1"/>
  <c r="P4" i="2"/>
  <c r="Q4" i="2" s="1" a="1"/>
  <c r="P5" i="2"/>
  <c r="Q5" i="2" s="1" a="1"/>
  <c r="P6" i="2"/>
  <c r="Q6" i="2" s="1" a="1"/>
  <c r="P7" i="2"/>
  <c r="Q7" i="2" s="1" a="1"/>
  <c r="P8" i="2"/>
  <c r="Q8" i="2" s="1" a="1"/>
  <c r="P9" i="2"/>
  <c r="Q9" i="2" s="1" a="1"/>
  <c r="P10" i="2"/>
  <c r="Q10" i="2" s="1" a="1"/>
  <c r="P11" i="2"/>
  <c r="Q11" i="2" s="1" a="1"/>
  <c r="P12" i="2"/>
  <c r="Q12" i="2" s="1" a="1"/>
  <c r="P13" i="2"/>
  <c r="Q13" i="2" s="1" a="1"/>
  <c r="P14" i="2"/>
  <c r="Q14" i="2" s="1" a="1"/>
  <c r="P15" i="2"/>
  <c r="Q15" i="2" s="1" a="1"/>
  <c r="P16" i="2"/>
  <c r="Q16" i="2" s="1" a="1"/>
  <c r="P17" i="2"/>
  <c r="Q17" i="2" s="1" a="1"/>
  <c r="P18" i="2"/>
  <c r="Q18" i="2" s="1" a="1"/>
  <c r="P19" i="2"/>
  <c r="Q19" i="2" s="1" a="1"/>
  <c r="P20" i="2"/>
  <c r="Q20" i="2" s="1" a="1"/>
  <c r="P21" i="2"/>
  <c r="Q21" i="2" s="1" a="1"/>
  <c r="P22" i="2"/>
  <c r="Q22" i="2" s="1" a="1"/>
  <c r="P23" i="2"/>
  <c r="Q23" i="2" s="1" a="1"/>
  <c r="P24" i="2"/>
  <c r="Q24" i="2" s="1" a="1"/>
  <c r="P25" i="2"/>
  <c r="Q25" i="2" s="1" a="1"/>
  <c r="P26" i="2"/>
  <c r="Q26" i="2" s="1" a="1"/>
  <c r="P27" i="2"/>
  <c r="Q27" i="2" s="1" a="1"/>
  <c r="P28" i="2"/>
  <c r="Q28" i="2" s="1" a="1"/>
  <c r="P29" i="2"/>
  <c r="Q29" i="2" s="1" a="1"/>
  <c r="P30" i="2"/>
  <c r="Q30" i="2" s="1" a="1"/>
  <c r="P31" i="2"/>
  <c r="Q31" i="2" s="1" a="1"/>
  <c r="P32" i="2"/>
  <c r="Q32" i="2" s="1" a="1"/>
  <c r="P33" i="2"/>
  <c r="Q33" i="2" s="1" a="1"/>
  <c r="P34" i="2"/>
  <c r="Q34" i="2" s="1" a="1"/>
  <c r="P35" i="2"/>
  <c r="Q35" i="2" s="1" a="1"/>
  <c r="P36" i="2"/>
  <c r="Q36" i="2" s="1" a="1"/>
  <c r="P37" i="2"/>
  <c r="Q37" i="2" s="1" a="1"/>
  <c r="P38" i="2"/>
  <c r="Q38" i="2" s="1" a="1"/>
  <c r="P39" i="2"/>
  <c r="Q39" i="2" s="1" a="1"/>
  <c r="P40" i="2"/>
  <c r="Q40" i="2" s="1" a="1"/>
  <c r="P41" i="2"/>
  <c r="Q41" i="2" s="1" a="1"/>
  <c r="P42" i="2"/>
  <c r="Q42" i="2" s="1" a="1"/>
  <c r="P43" i="2"/>
  <c r="Q43" i="2" s="1" a="1"/>
  <c r="P44" i="2"/>
  <c r="Q44" i="2" s="1" a="1"/>
  <c r="P45" i="2"/>
  <c r="Q45" i="2" s="1" a="1"/>
  <c r="P46" i="2"/>
  <c r="Q46" i="2" s="1" a="1"/>
  <c r="P47" i="2"/>
  <c r="Q47" i="2" s="1" a="1"/>
  <c r="P48" i="2"/>
  <c r="Q48" i="2" s="1" a="1"/>
  <c r="P49" i="2"/>
  <c r="Q49" i="2" s="1" a="1"/>
  <c r="P50" i="2"/>
  <c r="Q50" i="2" s="1" a="1"/>
  <c r="P51" i="2"/>
  <c r="Q51" i="2" s="1" a="1"/>
  <c r="P52" i="2"/>
  <c r="Q52" i="2" s="1" a="1"/>
  <c r="P53" i="2"/>
  <c r="Q53" i="2" s="1" a="1"/>
  <c r="P54" i="2"/>
  <c r="Q54" i="2" s="1" a="1"/>
  <c r="P55" i="2"/>
  <c r="Q55" i="2" s="1" a="1"/>
  <c r="P56" i="2"/>
  <c r="Q56" i="2" s="1" a="1"/>
  <c r="P57" i="2"/>
  <c r="Q57" i="2" s="1" a="1"/>
  <c r="P58" i="2"/>
  <c r="Q58" i="2" s="1" a="1"/>
  <c r="P59" i="2"/>
  <c r="Q59" i="2" s="1" a="1"/>
  <c r="P60" i="2"/>
  <c r="Q60" i="2" s="1" a="1"/>
  <c r="P61" i="2"/>
  <c r="Q61" i="2" s="1" a="1"/>
  <c r="P62" i="2"/>
  <c r="Q62" i="2" s="1" a="1"/>
  <c r="P63" i="2"/>
  <c r="Q63" i="2" s="1" a="1"/>
  <c r="P64" i="2"/>
  <c r="Q64" i="2" s="1" a="1"/>
  <c r="P65" i="2"/>
  <c r="Q65" i="2" s="1" a="1"/>
  <c r="P66" i="2"/>
  <c r="Q66" i="2" s="1" a="1"/>
  <c r="P67" i="2"/>
  <c r="Q67" i="2" s="1" a="1"/>
  <c r="P68" i="2"/>
  <c r="Q68" i="2" s="1" a="1"/>
  <c r="P69" i="2"/>
  <c r="Q69" i="2" s="1" a="1"/>
  <c r="P70" i="2"/>
  <c r="Q70" i="2" s="1" a="1"/>
  <c r="P71" i="2"/>
  <c r="Q71" i="2" s="1" a="1"/>
  <c r="P72" i="2"/>
  <c r="Q72" i="2" s="1" a="1"/>
  <c r="P73" i="2"/>
  <c r="Q73" i="2" s="1" a="1"/>
  <c r="P74" i="2"/>
  <c r="Q74" i="2" s="1" a="1"/>
  <c r="P75" i="2"/>
  <c r="Q75" i="2" s="1" a="1"/>
  <c r="P76" i="2"/>
  <c r="Q76" i="2" s="1" a="1"/>
  <c r="P77" i="2"/>
  <c r="Q77" i="2" s="1" a="1"/>
  <c r="P78" i="2"/>
  <c r="Q78" i="2" s="1" a="1"/>
  <c r="P79" i="2"/>
  <c r="Q79" i="2" s="1" a="1"/>
  <c r="P80" i="2"/>
  <c r="Q80" i="2" s="1" a="1"/>
  <c r="P81" i="2"/>
  <c r="Q81" i="2" s="1" a="1"/>
  <c r="P82" i="2"/>
  <c r="Q82" i="2" s="1" a="1"/>
  <c r="P83" i="2"/>
  <c r="Q83" i="2" s="1" a="1"/>
  <c r="P84" i="2"/>
  <c r="Q84" i="2" s="1" a="1"/>
  <c r="P85" i="2"/>
  <c r="Q85" i="2" s="1" a="1"/>
  <c r="P86" i="2"/>
  <c r="Q86" i="2" s="1" a="1"/>
  <c r="P87" i="2"/>
  <c r="Q87" i="2" s="1" a="1"/>
  <c r="P88" i="2"/>
  <c r="Q88" i="2" s="1" a="1"/>
  <c r="P89" i="2"/>
  <c r="Q89" i="2" s="1" a="1"/>
  <c r="P90" i="2"/>
  <c r="Q90" i="2" s="1" a="1"/>
  <c r="P91" i="2"/>
  <c r="Q91" i="2" s="1" a="1"/>
  <c r="P92" i="2"/>
  <c r="Q92" i="2" s="1" a="1"/>
  <c r="P93" i="2"/>
  <c r="Q93" i="2" s="1" a="1"/>
  <c r="P94" i="2"/>
  <c r="Q94" i="2" s="1" a="1"/>
  <c r="P95" i="2"/>
  <c r="Q95" i="2" s="1" a="1"/>
  <c r="P96" i="2"/>
  <c r="Q96" i="2" s="1" a="1"/>
  <c r="P97" i="2"/>
  <c r="Q97" i="2" s="1" a="1"/>
  <c r="P98" i="2"/>
  <c r="Q98" i="2" s="1" a="1"/>
  <c r="P99" i="2"/>
  <c r="Q99" i="2" s="1" a="1"/>
  <c r="P100" i="2"/>
  <c r="Q100" i="2" s="1" a="1"/>
  <c r="P101" i="2"/>
  <c r="Q101" i="2" s="1" a="1"/>
  <c r="P102" i="2"/>
  <c r="Q102" i="2" s="1" a="1"/>
  <c r="P103" i="2"/>
  <c r="P104" i="2"/>
  <c r="P105" i="2"/>
  <c r="P106" i="2"/>
  <c r="P107" i="2"/>
  <c r="P108" i="2"/>
  <c r="P109" i="2"/>
  <c r="P110" i="2"/>
  <c r="P111" i="2"/>
  <c r="Q103" i="2" a="1"/>
  <c r="Q104" i="2" a="1"/>
  <c r="Q105" i="2" a="1"/>
  <c r="Q106" i="2" a="1"/>
  <c r="Q107" i="2" a="1"/>
  <c r="Q108" i="2" a="1"/>
  <c r="Q109" i="2" a="1"/>
  <c r="Q110" i="2" a="1"/>
  <c r="Q111" i="2" a="1"/>
  <c r="R2" i="2" a="1"/>
  <c r="R3" i="2" a="1"/>
  <c r="R4" i="2" a="1"/>
  <c r="R5" i="2" a="1"/>
  <c r="R6" i="2" a="1"/>
  <c r="R7" i="2" a="1"/>
  <c r="R8" i="2" a="1"/>
  <c r="R9" i="2" a="1"/>
  <c r="R10" i="2" a="1"/>
  <c r="R11" i="2" a="1"/>
  <c r="R12" i="2" a="1"/>
  <c r="R13" i="2" a="1"/>
  <c r="R14" i="2" a="1"/>
  <c r="R15" i="2" a="1"/>
  <c r="R16" i="2" a="1"/>
  <c r="R17" i="2" a="1"/>
  <c r="R18" i="2" a="1"/>
  <c r="R19" i="2" a="1"/>
  <c r="R20" i="2" a="1"/>
  <c r="R21" i="2" a="1"/>
  <c r="R22" i="2" a="1"/>
  <c r="R23" i="2" a="1"/>
  <c r="R24" i="2" a="1"/>
  <c r="R25" i="2" a="1"/>
  <c r="R26" i="2" a="1"/>
  <c r="R27" i="2" a="1"/>
  <c r="R28" i="2" a="1"/>
  <c r="R29" i="2" a="1"/>
  <c r="R30" i="2" a="1"/>
  <c r="R31" i="2" a="1"/>
  <c r="R32" i="2" a="1"/>
  <c r="R33" i="2" a="1"/>
  <c r="R34" i="2" a="1"/>
  <c r="R35" i="2" a="1"/>
  <c r="R36" i="2" a="1"/>
  <c r="R37" i="2" a="1"/>
  <c r="R38" i="2" a="1"/>
  <c r="R39" i="2" a="1"/>
  <c r="R40" i="2" a="1"/>
  <c r="R41" i="2" a="1"/>
  <c r="R42" i="2" a="1"/>
  <c r="R43" i="2" a="1"/>
  <c r="R44" i="2" a="1"/>
  <c r="R45" i="2" a="1"/>
  <c r="R46" i="2" a="1"/>
  <c r="R47" i="2" a="1"/>
  <c r="R48" i="2" a="1"/>
  <c r="R49" i="2" a="1"/>
  <c r="R50" i="2" a="1"/>
  <c r="R51" i="2" a="1"/>
  <c r="R52" i="2" a="1"/>
  <c r="R53" i="2" a="1"/>
  <c r="R54" i="2" a="1"/>
  <c r="R55" i="2" a="1"/>
  <c r="R56" i="2" a="1"/>
  <c r="R57" i="2" a="1"/>
  <c r="R58" i="2" a="1"/>
  <c r="R59" i="2" a="1"/>
  <c r="R60" i="2" a="1"/>
  <c r="R61" i="2" a="1"/>
  <c r="R62" i="2" a="1"/>
  <c r="R63" i="2" a="1"/>
  <c r="R64" i="2" a="1"/>
  <c r="R65" i="2" a="1"/>
  <c r="R66" i="2" a="1"/>
  <c r="R67" i="2" a="1"/>
  <c r="R68" i="2" a="1"/>
  <c r="R69" i="2" a="1"/>
  <c r="R70" i="2" a="1"/>
  <c r="R71" i="2" a="1"/>
  <c r="R72" i="2" a="1"/>
  <c r="R73" i="2" a="1"/>
  <c r="R74" i="2" a="1"/>
  <c r="R75" i="2" a="1"/>
  <c r="R76" i="2" a="1"/>
  <c r="R77" i="2" a="1"/>
  <c r="R78" i="2" a="1"/>
  <c r="R79" i="2" a="1"/>
  <c r="R80" i="2" a="1"/>
  <c r="R81" i="2" a="1"/>
  <c r="R82" i="2" a="1"/>
  <c r="R83" i="2" a="1"/>
  <c r="R84" i="2" a="1"/>
  <c r="R85" i="2" a="1"/>
  <c r="R86" i="2" a="1"/>
  <c r="R87" i="2" a="1"/>
  <c r="R88" i="2" a="1"/>
  <c r="R89" i="2" a="1"/>
  <c r="R90" i="2" a="1"/>
  <c r="R91" i="2" a="1"/>
  <c r="R92" i="2" a="1"/>
  <c r="R93" i="2" a="1"/>
  <c r="R94" i="2" a="1"/>
  <c r="R95" i="2" a="1"/>
  <c r="R96" i="2" a="1"/>
  <c r="R97" i="2" a="1"/>
  <c r="R98" i="2" a="1"/>
  <c r="R99" i="2" a="1"/>
  <c r="R100" i="2" a="1"/>
  <c r="R101" i="2" a="1"/>
  <c r="R102" i="2" a="1"/>
  <c r="R103" i="2" a="1"/>
  <c r="R104" i="2" a="1"/>
  <c r="R105" i="2" a="1"/>
  <c r="R106" i="2" a="1"/>
  <c r="R107" i="2" a="1"/>
  <c r="R108" i="2" a="1"/>
  <c r="R109" i="2" a="1"/>
  <c r="R110" i="2" a="1"/>
  <c r="R111" i="2" a="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C57" i="4" a="1"/>
  <c r="C48" i="4" a="1"/>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D111" i="5"/>
  <c r="C111" i="5"/>
  <c r="D110" i="5"/>
  <c r="C110" i="5"/>
  <c r="D109" i="5"/>
  <c r="C109" i="5"/>
  <c r="D108" i="5"/>
  <c r="C108" i="5"/>
  <c r="D107" i="5"/>
  <c r="C107" i="5"/>
  <c r="D106" i="5"/>
  <c r="C106" i="5"/>
  <c r="D105" i="5"/>
  <c r="C105" i="5"/>
  <c r="D104" i="5"/>
  <c r="C104" i="5"/>
  <c r="D103" i="5"/>
  <c r="C103" i="5"/>
  <c r="D102" i="5"/>
  <c r="C102" i="5"/>
  <c r="D101" i="5"/>
  <c r="C101" i="5"/>
  <c r="D100" i="5"/>
  <c r="C100" i="5"/>
  <c r="D99" i="5"/>
  <c r="C99" i="5"/>
  <c r="D98" i="5"/>
  <c r="C98" i="5"/>
  <c r="D97" i="5"/>
  <c r="C97" i="5"/>
  <c r="D96" i="5"/>
  <c r="C96" i="5"/>
  <c r="D95" i="5"/>
  <c r="C95" i="5"/>
  <c r="D94" i="5"/>
  <c r="C94" i="5"/>
  <c r="D93" i="5"/>
  <c r="C93" i="5"/>
  <c r="D92" i="5"/>
  <c r="C92" i="5"/>
  <c r="D91" i="5"/>
  <c r="C91" i="5"/>
  <c r="D90" i="5"/>
  <c r="C90" i="5"/>
  <c r="D89" i="5"/>
  <c r="C89" i="5"/>
  <c r="D88" i="5"/>
  <c r="C88" i="5"/>
  <c r="D87" i="5"/>
  <c r="C87" i="5"/>
  <c r="D86" i="5"/>
  <c r="C86" i="5"/>
  <c r="D85" i="5"/>
  <c r="C85" i="5"/>
  <c r="D84" i="5"/>
  <c r="C84" i="5"/>
  <c r="D83" i="5"/>
  <c r="C83" i="5"/>
  <c r="D82" i="5"/>
  <c r="C82" i="5"/>
  <c r="D81" i="5"/>
  <c r="C81" i="5"/>
  <c r="D80" i="5"/>
  <c r="C80" i="5"/>
  <c r="D79" i="5"/>
  <c r="C79" i="5"/>
  <c r="D78" i="5"/>
  <c r="C78" i="5"/>
  <c r="D77" i="5"/>
  <c r="C77" i="5"/>
  <c r="D76" i="5"/>
  <c r="C76" i="5"/>
  <c r="D75" i="5"/>
  <c r="C75" i="5"/>
  <c r="D74" i="5"/>
  <c r="C74" i="5"/>
  <c r="D73" i="5"/>
  <c r="C73" i="5"/>
  <c r="D72" i="5"/>
  <c r="C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6" i="5"/>
  <c r="C6" i="5"/>
  <c r="D5" i="5"/>
  <c r="C5" i="5"/>
  <c r="D4" i="5"/>
  <c r="C4" i="5"/>
  <c r="D3" i="5"/>
  <c r="C3" i="5"/>
  <c r="D2" i="5"/>
  <c r="C2" i="5"/>
  <c r="K7" i="4"/>
  <c r="E6" i="4"/>
  <c r="E9" i="4"/>
  <c r="E8" i="4"/>
  <c r="E7" i="4"/>
  <c r="E5" i="4"/>
  <c r="E4" i="4"/>
  <c r="V4" i="2" l="1" a="1"/>
  <c r="V7" i="2" a="1"/>
  <c r="V11" i="2" a="1"/>
  <c r="V15" i="2" a="1"/>
  <c r="V18" i="2" a="1"/>
  <c r="V23" i="2" a="1"/>
  <c r="V34" i="2" a="1"/>
  <c r="V37" i="2" a="1"/>
  <c r="V40" i="2" a="1"/>
  <c r="V43" i="2" a="1"/>
  <c r="V48" i="2" a="1"/>
  <c r="V51" i="2" a="1"/>
  <c r="V54" i="2" a="1"/>
  <c r="V57" i="2" a="1"/>
  <c r="V62" i="2" a="1"/>
  <c r="V65" i="2" a="1"/>
  <c r="V68" i="2" a="1"/>
  <c r="V71" i="2" a="1"/>
  <c r="V74" i="2" a="1"/>
  <c r="V77" i="2" a="1"/>
  <c r="V81" i="2" a="1"/>
  <c r="V85" i="2" a="1"/>
  <c r="V88" i="2" a="1"/>
  <c r="V91" i="2" a="1"/>
  <c r="V95" i="2" a="1"/>
  <c r="V98" i="2" a="1"/>
  <c r="V101" i="2" a="1"/>
  <c r="V105" i="2" a="1"/>
  <c r="V109" i="2" a="1"/>
  <c r="V3" i="2" a="1"/>
  <c r="V6" i="2" a="1"/>
  <c r="V8" i="2" a="1"/>
  <c r="V10" i="2" a="1"/>
  <c r="V13" i="2" a="1"/>
  <c r="V17" i="2" a="1"/>
  <c r="V19" i="2" a="1"/>
  <c r="V21" i="2" a="1"/>
  <c r="V24" i="2" a="1"/>
  <c r="V26" i="2" a="1"/>
  <c r="V28" i="2" a="1"/>
  <c r="V30" i="2" a="1"/>
  <c r="V32" i="2" a="1"/>
  <c r="V35" i="2" a="1"/>
  <c r="V39" i="2" a="1"/>
  <c r="V42" i="2" a="1"/>
  <c r="V44" i="2" a="1"/>
  <c r="V46" i="2" a="1"/>
  <c r="V49" i="2" a="1"/>
  <c r="V52" i="2" a="1"/>
  <c r="V55" i="2" a="1"/>
  <c r="V59" i="2" a="1"/>
  <c r="V60" i="2" a="1"/>
  <c r="V63" i="2" a="1"/>
  <c r="V67" i="2" a="1"/>
  <c r="V70" i="2" a="1"/>
  <c r="V73" i="2" a="1"/>
  <c r="V76" i="2" a="1"/>
  <c r="V79" i="2" a="1"/>
  <c r="V82" i="2" a="1"/>
  <c r="V84" i="2" a="1"/>
  <c r="V87" i="2" a="1"/>
  <c r="V90" i="2" a="1"/>
  <c r="V93" i="2" a="1"/>
  <c r="V96" i="2" a="1"/>
  <c r="V99" i="2" a="1"/>
  <c r="V102" i="2" a="1"/>
  <c r="V104" i="2" a="1"/>
  <c r="V107" i="2" a="1"/>
  <c r="V110" i="2" a="1"/>
  <c r="V2" i="2" a="1"/>
  <c r="V5" i="2" a="1"/>
  <c r="V9" i="2" a="1"/>
  <c r="V12" i="2" a="1"/>
  <c r="V14" i="2" a="1"/>
  <c r="V16" i="2" a="1"/>
  <c r="V20" i="2" a="1"/>
  <c r="V22" i="2" a="1"/>
  <c r="V25" i="2" a="1"/>
  <c r="V27" i="2" a="1"/>
  <c r="V29" i="2" a="1"/>
  <c r="V31" i="2" a="1"/>
  <c r="V33" i="2" a="1"/>
  <c r="V36" i="2" a="1"/>
  <c r="V38" i="2" a="1"/>
  <c r="V41" i="2" a="1"/>
  <c r="V45" i="2" a="1"/>
  <c r="V47" i="2" a="1"/>
  <c r="V50" i="2" a="1"/>
  <c r="V53" i="2" a="1"/>
  <c r="V56" i="2" a="1"/>
  <c r="V58" i="2" a="1"/>
  <c r="V61" i="2" a="1"/>
  <c r="V64" i="2" a="1"/>
  <c r="V66" i="2" a="1"/>
  <c r="V69" i="2" a="1"/>
  <c r="V72" i="2" a="1"/>
  <c r="V75" i="2" a="1"/>
  <c r="V78" i="2" a="1"/>
  <c r="V80" i="2" a="1"/>
  <c r="V83" i="2" a="1"/>
  <c r="V86" i="2" a="1"/>
  <c r="V89" i="2" a="1"/>
  <c r="V92" i="2" a="1"/>
  <c r="V94" i="2" a="1"/>
  <c r="V97" i="2" a="1"/>
  <c r="V100" i="2" a="1"/>
  <c r="V103" i="2" a="1"/>
  <c r="V106" i="2" a="1"/>
  <c r="V108" i="2" a="1"/>
  <c r="V111" i="2" a="1"/>
  <c r="B58" i="4" a="1"/>
  <c r="C58" i="4" s="1" a="1"/>
  <c r="A111" i="5" a="1"/>
  <c r="B67" i="4" a="1"/>
  <c r="B49" i="4" a="1"/>
  <c r="C49" i="4" s="1" a="1"/>
  <c r="A67" i="5" a="1"/>
  <c r="A22" i="5" a="1"/>
  <c r="A2" i="5" a="1"/>
  <c r="A61" i="5" a="1"/>
  <c r="A23" i="5" a="1"/>
  <c r="A24" i="5" a="1"/>
  <c r="A3" i="5" a="1"/>
  <c r="A62" i="5" a="1"/>
  <c r="A63" i="5" a="1"/>
  <c r="A4" i="5" a="1"/>
  <c r="A64" i="5" a="1"/>
  <c r="A25" i="5" a="1"/>
  <c r="A5" i="5" a="1"/>
  <c r="A65" i="5" a="1"/>
  <c r="A26" i="5" a="1"/>
  <c r="A27" i="5" a="1"/>
  <c r="A28" i="5" a="1"/>
  <c r="A66" i="5" a="1"/>
  <c r="A29" i="5" a="1"/>
  <c r="A6" i="5" a="1"/>
  <c r="A7" i="5" a="1"/>
  <c r="A30" i="5" a="1"/>
  <c r="A68" i="5" a="1"/>
  <c r="A69" i="5" a="1"/>
  <c r="A31" i="5" a="1"/>
  <c r="A32" i="5" a="1"/>
  <c r="A70" i="5" a="1"/>
  <c r="A33" i="5" a="1"/>
  <c r="A8" i="5" a="1"/>
  <c r="A34" i="5" a="1"/>
  <c r="A71" i="5" a="1"/>
  <c r="A72" i="5" a="1"/>
  <c r="A9" i="5" a="1"/>
  <c r="A10" i="5" a="1"/>
  <c r="A73" i="5" a="1"/>
  <c r="A35" i="5" a="1"/>
  <c r="A36" i="5" a="1"/>
  <c r="A74" i="5" a="1"/>
  <c r="A37" i="5" a="1"/>
  <c r="A75" i="5" a="1"/>
  <c r="A38" i="5" a="1"/>
  <c r="A76" i="5" a="1"/>
  <c r="A77" i="5" a="1"/>
  <c r="A39" i="5" a="1"/>
  <c r="A78" i="5" a="1"/>
  <c r="A40" i="5" a="1"/>
  <c r="A41" i="5" a="1"/>
  <c r="A79" i="5" a="1"/>
  <c r="A80" i="5" a="1"/>
  <c r="A81" i="5" a="1"/>
  <c r="A42" i="5" a="1"/>
  <c r="A82" i="5" a="1"/>
  <c r="A83" i="5" a="1"/>
  <c r="A84" i="5" a="1"/>
  <c r="A43" i="5" a="1"/>
  <c r="A44" i="5" a="1"/>
  <c r="A85" i="5" a="1"/>
  <c r="A11" i="5" a="1"/>
  <c r="A12" i="5" a="1"/>
  <c r="A13" i="5" a="1"/>
  <c r="A45" i="5" a="1"/>
  <c r="A46" i="5" a="1"/>
  <c r="A86" i="5" a="1"/>
  <c r="A87" i="5" a="1"/>
  <c r="A47" i="5" a="1"/>
  <c r="A48" i="5" a="1"/>
  <c r="A88" i="5" a="1"/>
  <c r="A49" i="5" a="1"/>
  <c r="A89" i="5" a="1"/>
  <c r="A50" i="5" a="1"/>
  <c r="A90" i="5" a="1"/>
  <c r="A51" i="5" a="1"/>
  <c r="A52" i="5" a="1"/>
  <c r="A91" i="5" a="1"/>
  <c r="A92" i="5" a="1"/>
  <c r="A93" i="5" a="1"/>
  <c r="A94" i="5" a="1"/>
  <c r="A53" i="5" a="1"/>
  <c r="A95" i="5" a="1"/>
  <c r="A96" i="5" a="1"/>
  <c r="A97" i="5" a="1"/>
  <c r="A14" i="5" a="1"/>
  <c r="A98" i="5" a="1"/>
  <c r="A99" i="5" a="1"/>
  <c r="A100" i="5" a="1"/>
  <c r="A15" i="5" a="1"/>
  <c r="A101" i="5" a="1"/>
  <c r="A54" i="5" a="1"/>
  <c r="A55" i="5" a="1"/>
  <c r="A16" i="5" a="1"/>
  <c r="A56" i="5" a="1"/>
  <c r="A102" i="5" a="1"/>
  <c r="A57" i="5" a="1"/>
  <c r="A103" i="5" a="1"/>
  <c r="A58" i="5" a="1"/>
  <c r="A17" i="5" a="1"/>
  <c r="A18" i="5" a="1"/>
  <c r="A19" i="5" a="1"/>
  <c r="A104" i="5" a="1"/>
  <c r="A20" i="5" a="1"/>
  <c r="A105" i="5" a="1"/>
  <c r="A106" i="5" a="1"/>
  <c r="A59" i="5" a="1"/>
  <c r="A21" i="5" a="1"/>
  <c r="A107" i="5" a="1"/>
  <c r="A108" i="5" a="1"/>
  <c r="A60" i="5" a="1"/>
  <c r="A109" i="5" a="1"/>
  <c r="A110" i="5" a="1"/>
  <c r="C3" i="4" a="1"/>
  <c r="N3" i="4" a="1"/>
  <c r="H3" i="4" a="1"/>
  <c r="C67" i="4" l="1" a="1"/>
  <c r="G67" i="4" a="1"/>
  <c r="F67" i="4" a="1"/>
  <c r="E67" i="4" a="1"/>
  <c r="D67" i="4" a="1"/>
  <c r="H67" i="4" a="1"/>
  <c r="J67" i="4" a="1"/>
  <c r="I67" i="4" a="1"/>
  <c r="C5" i="4" a="1"/>
  <c r="N2" i="5" a="1"/>
  <c r="N1" i="5" a="1"/>
  <c r="F1" i="5" a="1"/>
  <c r="J1" i="5" a="1"/>
  <c r="J2" i="5" a="1"/>
  <c r="F2" i="5" a="1"/>
  <c r="E10" i="4"/>
  <c r="M4" i="4" a="1"/>
  <c r="C6" i="4" a="1"/>
  <c r="C10" i="4" a="1"/>
  <c r="C4" i="4" a="1"/>
  <c r="C7" i="4" a="1"/>
  <c r="C9" i="4" a="1"/>
  <c r="C8" i="4" a="1"/>
  <c r="G4" i="4" a="1"/>
  <c r="Q4" i="4" l="1" a="1"/>
  <c r="N4" i="4" a="1"/>
  <c r="H4" i="4" a="1"/>
  <c r="J7" i="4" l="1"/>
  <c r="K6" i="4"/>
  <c r="K5" i="4"/>
  <c r="I7" i="4"/>
  <c r="K4" i="4"/>
  <c r="H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EC302E-0746-4400-9966-E8B0F05B91F8}"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<sst xmlns="http://schemas.openxmlformats.org/spreadsheetml/2006/main" count="152" uniqueCount="79">
  <si>
    <t>session_id</t>
  </si>
  <si>
    <t>session_start</t>
  </si>
  <si>
    <t>session_end</t>
  </si>
  <si>
    <t>headshots</t>
  </si>
  <si>
    <t>kills</t>
  </si>
  <si>
    <t>deaths</t>
  </si>
  <si>
    <t>session_duration_min</t>
  </si>
  <si>
    <t>downtime_min</t>
  </si>
  <si>
    <t>year</t>
  </si>
  <si>
    <t>month</t>
  </si>
  <si>
    <t>week</t>
  </si>
  <si>
    <t>day_of_week</t>
  </si>
  <si>
    <t>is_weekend</t>
  </si>
  <si>
    <t>hour</t>
  </si>
  <si>
    <t>day_part</t>
  </si>
  <si>
    <t>duration_category</t>
  </si>
  <si>
    <t>session_kdr</t>
  </si>
  <si>
    <t>session_hs_pct</t>
  </si>
  <si>
    <t>session_quality</t>
  </si>
  <si>
    <t>day_of_week_name</t>
  </si>
  <si>
    <t>sessions_kills_per_min</t>
  </si>
  <si>
    <t>Sessions count</t>
  </si>
  <si>
    <t>KDR</t>
  </si>
  <si>
    <t>HS%</t>
  </si>
  <si>
    <t>Kills per min</t>
  </si>
  <si>
    <t>Playtime hr</t>
  </si>
  <si>
    <t>Avg session duration</t>
  </si>
  <si>
    <t>Total</t>
  </si>
  <si>
    <t>Good sessions share</t>
  </si>
  <si>
    <t xml:space="preserve"> </t>
  </si>
  <si>
    <t>Grand Total</t>
  </si>
  <si>
    <t>1. Performance Overview</t>
  </si>
  <si>
    <t>2. Session Metrics: Distributions &amp; Correlations</t>
  </si>
  <si>
    <t>3. Playtime Habits &amp; Performance</t>
  </si>
  <si>
    <t>Kills per minute</t>
  </si>
  <si>
    <t>Evening sessions pct</t>
  </si>
  <si>
    <t>Evening KDR</t>
  </si>
  <si>
    <t>Evening HS%</t>
  </si>
  <si>
    <t>Category</t>
  </si>
  <si>
    <t>*Session quality by duration: counts and percentages.</t>
  </si>
  <si>
    <t>*Playtime and KDR by day and hour, with weekday vs. weekend comparisons.</t>
  </si>
  <si>
    <t>4. Time Series Analysis</t>
  </si>
  <si>
    <t/>
  </si>
  <si>
    <t>Sessions</t>
  </si>
  <si>
    <t>_KDR</t>
  </si>
  <si>
    <t>_HS%</t>
  </si>
  <si>
    <t>Avg_Session_Duration_Min</t>
  </si>
  <si>
    <t>month_name</t>
  </si>
  <si>
    <t>October</t>
  </si>
  <si>
    <t>November</t>
  </si>
  <si>
    <t>December</t>
  </si>
  <si>
    <t>January</t>
  </si>
  <si>
    <t>February</t>
  </si>
  <si>
    <t>March</t>
  </si>
  <si>
    <t>April</t>
  </si>
  <si>
    <t>May</t>
  </si>
  <si>
    <t>June</t>
  </si>
  <si>
    <t>July</t>
  </si>
  <si>
    <t>August</t>
  </si>
  <si>
    <t>September</t>
  </si>
  <si>
    <t>Playtime_hr_</t>
  </si>
  <si>
    <t>Sum of Kills_Per_Min</t>
  </si>
  <si>
    <t>Sessions share</t>
  </si>
  <si>
    <t>Sessions Prev Month Diff</t>
  </si>
  <si>
    <t>Playtime Share</t>
  </si>
  <si>
    <t>Avg Session Duration Min</t>
  </si>
  <si>
    <t>KDR Rank</t>
  </si>
  <si>
    <t>KDR Prev Year Diff</t>
  </si>
  <si>
    <t>HS% Rank</t>
  </si>
  <si>
    <t>Kills Per Min</t>
  </si>
  <si>
    <t xml:space="preserve"> HS%</t>
  </si>
  <si>
    <t xml:space="preserve"> KDR</t>
  </si>
  <si>
    <t xml:space="preserve"> Playtime hr</t>
  </si>
  <si>
    <t>Month Name</t>
  </si>
  <si>
    <t xml:space="preserve"> Year</t>
  </si>
  <si>
    <t>Total:</t>
  </si>
  <si>
    <t>is_poor_session</t>
  </si>
  <si>
    <t>Poor Sessions</t>
  </si>
  <si>
    <t>Poor Sessions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</si>
</sst>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0.0"/>
    <numFmt numFmtId="166" formatCode="[Green]\▲;[Red]\▼;"/>
  </numFmts>
  <fonts count="5" x14ac:knownFonts="1">
    <font>
      <sz val="11"/>
      <color theme="1"/>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2"/>
        <bgColor indexed="64"/>
      </patternFill>
    </fill>
  </fills>
  <borders count="12">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8">
    <xf numFmtId="0" fontId="0" fillId="0" borderId="0" xfId="0"/>
    <xf numFmtId="164" fontId="0" fillId="0" borderId="0" xfId="0" applyNumberFormat="1"/>
    <xf numFmtId="0" fontId="1" fillId="0" borderId="0" xfId="0" applyFont="1"/>
    <xf numFmtId="10" fontId="0" fillId="0" borderId="0" xfId="0" applyNumberFormat="1"/>
    <xf numFmtId="0" fontId="0" fillId="0" borderId="0" xfId="0" applyAlignment="1">
      <alignment horizontal="centerContinuous"/>
    </xf>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 fillId="0" borderId="1" xfId="0" applyFont="1" applyBorder="1"/>
    <xf numFmtId="0" fontId="0" fillId="0" borderId="2" xfId="0" applyBorder="1"/>
    <xf numFmtId="165" fontId="0" fillId="0" borderId="2" xfId="0" applyNumberFormat="1" applyBorder="1"/>
    <xf numFmtId="10" fontId="0" fillId="0" borderId="2" xfId="0" applyNumberFormat="1" applyBorder="1"/>
    <xf numFmtId="0" fontId="1" fillId="0" borderId="3" xfId="0" applyFont="1" applyBorder="1"/>
    <xf numFmtId="10" fontId="0" fillId="0" borderId="4" xfId="0" applyNumberFormat="1" applyBorder="1"/>
    <xf numFmtId="10" fontId="0" fillId="0" borderId="5" xfId="0" applyNumberFormat="1" applyBorder="1"/>
    <xf numFmtId="0" fontId="0" fillId="0" borderId="4" xfId="0" applyBorder="1"/>
    <xf numFmtId="0" fontId="0" fillId="0" borderId="5" xfId="0" applyBorder="1"/>
    <xf numFmtId="0" fontId="0" fillId="0" borderId="0" xfId="0" applyAlignment="1">
      <alignment horizontal="right" vertical="center"/>
    </xf>
    <xf numFmtId="0" fontId="2" fillId="0" borderId="0" xfId="0" applyFont="1" applyAlignment="1">
      <alignment horizontal="right" vertical="center"/>
    </xf>
    <xf numFmtId="0" fontId="0" fillId="0" borderId="4" xfId="0" applyBorder="1" applyAlignment="1">
      <alignment horizontal="right" vertical="center"/>
    </xf>
    <xf numFmtId="2" fontId="0" fillId="0" borderId="0" xfId="0" applyNumberFormat="1" applyAlignment="1">
      <alignment horizontal="right" vertical="center"/>
    </xf>
    <xf numFmtId="2" fontId="2" fillId="0" borderId="0" xfId="0" applyNumberFormat="1" applyFont="1" applyAlignment="1">
      <alignment horizontal="right" vertical="center"/>
    </xf>
    <xf numFmtId="2" fontId="0" fillId="0" borderId="2" xfId="0" applyNumberFormat="1" applyBorder="1"/>
    <xf numFmtId="2" fontId="0" fillId="0" borderId="4" xfId="0" applyNumberFormat="1" applyBorder="1" applyAlignment="1">
      <alignment horizontal="right" vertical="center"/>
    </xf>
    <xf numFmtId="2" fontId="0" fillId="0" borderId="4" xfId="0" applyNumberFormat="1" applyBorder="1"/>
    <xf numFmtId="2" fontId="0" fillId="0" borderId="5" xfId="0" applyNumberFormat="1" applyBorder="1"/>
    <xf numFmtId="0" fontId="4" fillId="0" borderId="0" xfId="0" applyFont="1" applyAlignment="1">
      <alignment horizontal="left" vertical="center"/>
    </xf>
    <xf numFmtId="0" fontId="3" fillId="0" borderId="0" xfId="0" applyFont="1"/>
    <xf numFmtId="166" fontId="0" fillId="0" borderId="0" xfId="0" applyNumberFormat="1"/>
    <xf numFmtId="166" fontId="0" fillId="0" borderId="0" xfId="0" applyNumberFormat="1" applyAlignment="1">
      <alignment horizontal="left" vertical="top"/>
    </xf>
    <xf numFmtId="0" fontId="0" fillId="2" borderId="6" xfId="0" applyFill="1" applyBorder="1"/>
    <xf numFmtId="10" fontId="0" fillId="2" borderId="6" xfId="0" applyNumberFormat="1" applyFill="1" applyBorder="1"/>
    <xf numFmtId="166" fontId="0" fillId="2" borderId="6" xfId="0" applyNumberFormat="1" applyFill="1" applyBorder="1"/>
    <xf numFmtId="2" fontId="0" fillId="2" borderId="6" xfId="0" applyNumberFormat="1" applyFill="1" applyBorder="1"/>
    <xf numFmtId="0" fontId="0" fillId="0" borderId="7" xfId="0" applyBorder="1"/>
    <xf numFmtId="0" fontId="1" fillId="0" borderId="8" xfId="0" applyFont="1" applyBorder="1"/>
    <xf numFmtId="0" fontId="1" fillId="0" borderId="9" xfId="0" applyFont="1" applyBorder="1"/>
    <xf numFmtId="0" fontId="0" fillId="0" borderId="6" xfId="0" applyBorder="1"/>
    <xf numFmtId="0" fontId="1" fillId="0" borderId="10" xfId="0" applyFont="1" applyBorder="1"/>
    <xf numFmtId="0" fontId="1" fillId="0" borderId="11" xfId="0" applyFont="1" applyBorder="1"/>
    <xf numFmtId="11" fontId="0" fillId="0" borderId="7" xfId="0" applyNumberFormat="1" applyBorder="1" applyAlignment="1">
      <alignment horizontal="center" vertical="center"/>
    </xf>
    <xf numFmtId="11" fontId="1" fillId="0" borderId="8" xfId="0" applyNumberFormat="1" applyFont="1" applyBorder="1" applyAlignment="1">
      <alignment horizontal="center" vertical="center"/>
    </xf>
    <xf numFmtId="11" fontId="1" fillId="0" borderId="8" xfId="0" applyNumberFormat="1" applyFont="1" applyBorder="1" applyAlignment="1">
      <alignment horizontal="center" vertical="center" wrapText="1"/>
    </xf>
    <xf numFmtId="11" fontId="1" fillId="0" borderId="9" xfId="0" applyNumberFormat="1" applyFont="1" applyBorder="1" applyAlignment="1">
      <alignment horizontal="center" vertical="center" wrapText="1"/>
    </xf>
    <xf numFmtId="0" fontId="0" fillId="2" borderId="6" xfId="0" applyFill="1" applyBorder="1" applyAlignment="1">
      <alignment horizontal="left" vertical="center" wrapText="1"/>
    </xf>
    <xf numFmtId="0" fontId="0" fillId="2" borderId="0" xfId="0" applyFill="1" applyAlignment="1">
      <alignment horizontal="left" vertical="center" wrapText="1"/>
    </xf>
    <xf numFmtId="0" fontId="0" fillId="0" borderId="0" xfId="0" applyBorder="1"/>
  </cellXfs>
  <cellStyles count="1">
    <cellStyle name="Normal" xfId="0" builtinId="0"/>
  </cellStyles>
  <dxfs count="58">
    <dxf>
      <fill>
        <patternFill>
          <bgColor theme="2"/>
        </patternFill>
      </fill>
    </dxf>
    <dxf>
      <font>
        <color theme="6"/>
      </font>
    </dxf>
    <dxf>
      <font>
        <color rgb="FF9C0006"/>
      </font>
    </dxf>
    <dxf>
      <fill>
        <patternFill>
          <bgColor theme="2"/>
        </patternFill>
      </fill>
    </dxf>
    <dxf>
      <fill>
        <patternFill>
          <bgColor theme="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ss"/>
    </dxf>
    <dxf>
      <numFmt numFmtId="164" formatCode="yyyy\-mm\-dd\ hh:mm:ss"/>
    </dxf>
    <dxf>
      <alignment vertical="center"/>
    </dxf>
    <dxf>
      <alignment vertical="center"/>
    </dxf>
    <dxf>
      <alignment vertical="center"/>
    </dxf>
    <dxf>
      <alignment horizontal="left"/>
    </dxf>
    <dxf>
      <alignment horizontal="left"/>
    </dxf>
    <dxf>
      <alignment horizontal="left"/>
    </dxf>
    <dxf>
      <alignment wrapText="1"/>
    </dxf>
    <dxf>
      <alignment wrapText="1"/>
    </dxf>
    <dxf>
      <alignment wrapText="1"/>
    </dxf>
    <dxf>
      <fill>
        <patternFill patternType="solid">
          <fgColor indexed="64"/>
          <bgColor theme="2"/>
        </patternFill>
      </fill>
      <alignment horizontal="left" vertical="center" wrapText="1"/>
    </dxf>
    <dxf>
      <numFmt numFmtId="14" formatCode="0.00%"/>
    </dxf>
    <dxf>
      <fill>
        <patternFill patternType="solid">
          <bgColor theme="2"/>
        </patternFill>
      </fill>
    </dxf>
    <dxf>
      <alignment vertical="center"/>
    </dxf>
    <dxf>
      <alignment horizontal="left"/>
    </dxf>
    <dxf>
      <alignment wrapText="1"/>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14" formatCode="0.00%"/>
    </dxf>
    <dxf>
      <alignment horizontal="left"/>
    </dxf>
    <dxf>
      <alignment horizontal="left"/>
    </dxf>
    <dxf>
      <alignment horizontal="left"/>
    </dxf>
    <dxf>
      <alignment horizontal="left"/>
    </dxf>
    <dxf>
      <alignment vertical="top"/>
    </dxf>
    <dxf>
      <alignment vertical="top"/>
    </dxf>
    <dxf>
      <alignment vertical="top"/>
    </dxf>
    <dxf>
      <alignment vertical="top"/>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734ADDF1-F928-4D0E-A6C7-A98EF008F3EB}">
      <tableStyleElement type="wholeTable" dxfId="57"/>
      <tableStyleElement type="headerRow" dxfId="56"/>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Session Duration vs KDR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correlation_table!$F$1</c:f>
              <c:strCache>
                <c:ptCount val="1"/>
                <c:pt idx="0">
                  <c:v>Evening_kdr</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correlation_table!$F$2:$F$111</c:f>
              <c:numCache>
                <c:formatCode>General</c:formatCode>
                <c:ptCount val="110"/>
                <c:pt idx="0">
                  <c:v>1.37</c:v>
                </c:pt>
                <c:pt idx="1">
                  <c:v>-1</c:v>
                </c:pt>
                <c:pt idx="2">
                  <c:v>-1</c:v>
                </c:pt>
                <c:pt idx="3">
                  <c:v>-1</c:v>
                </c:pt>
                <c:pt idx="4">
                  <c:v>-1</c:v>
                </c:pt>
                <c:pt idx="5">
                  <c:v>1.67</c:v>
                </c:pt>
                <c:pt idx="6">
                  <c:v>0</c:v>
                </c:pt>
                <c:pt idx="7">
                  <c:v>1</c:v>
                </c:pt>
                <c:pt idx="8">
                  <c:v>1.23</c:v>
                </c:pt>
                <c:pt idx="9">
                  <c:v>0</c:v>
                </c:pt>
                <c:pt idx="10">
                  <c:v>-1</c:v>
                </c:pt>
                <c:pt idx="11">
                  <c:v>1.26</c:v>
                </c:pt>
                <c:pt idx="12">
                  <c:v>-1</c:v>
                </c:pt>
                <c:pt idx="13">
                  <c:v>3.23</c:v>
                </c:pt>
                <c:pt idx="14">
                  <c:v>-1</c:v>
                </c:pt>
                <c:pt idx="15">
                  <c:v>1.82</c:v>
                </c:pt>
                <c:pt idx="16">
                  <c:v>1.6</c:v>
                </c:pt>
                <c:pt idx="17">
                  <c:v>-1</c:v>
                </c:pt>
                <c:pt idx="18">
                  <c:v>3.25</c:v>
                </c:pt>
                <c:pt idx="19">
                  <c:v>2.2599999999999998</c:v>
                </c:pt>
                <c:pt idx="20">
                  <c:v>1.25</c:v>
                </c:pt>
                <c:pt idx="21">
                  <c:v>1.67</c:v>
                </c:pt>
                <c:pt idx="22">
                  <c:v>6</c:v>
                </c:pt>
                <c:pt idx="23">
                  <c:v>-1</c:v>
                </c:pt>
                <c:pt idx="24">
                  <c:v>1.65</c:v>
                </c:pt>
                <c:pt idx="25">
                  <c:v>-1</c:v>
                </c:pt>
                <c:pt idx="26">
                  <c:v>-1</c:v>
                </c:pt>
                <c:pt idx="27">
                  <c:v>-1</c:v>
                </c:pt>
                <c:pt idx="28">
                  <c:v>1.87</c:v>
                </c:pt>
                <c:pt idx="29">
                  <c:v>0.92</c:v>
                </c:pt>
                <c:pt idx="30">
                  <c:v>0.5</c:v>
                </c:pt>
                <c:pt idx="31">
                  <c:v>1.5</c:v>
                </c:pt>
                <c:pt idx="32">
                  <c:v>-1</c:v>
                </c:pt>
                <c:pt idx="33">
                  <c:v>1.4</c:v>
                </c:pt>
                <c:pt idx="34">
                  <c:v>-1</c:v>
                </c:pt>
                <c:pt idx="35">
                  <c:v>1.2</c:v>
                </c:pt>
                <c:pt idx="36">
                  <c:v>1.52</c:v>
                </c:pt>
                <c:pt idx="37">
                  <c:v>-1</c:v>
                </c:pt>
                <c:pt idx="38">
                  <c:v>1.19</c:v>
                </c:pt>
                <c:pt idx="39">
                  <c:v>-1</c:v>
                </c:pt>
                <c:pt idx="40">
                  <c:v>-1</c:v>
                </c:pt>
                <c:pt idx="41">
                  <c:v>-1</c:v>
                </c:pt>
                <c:pt idx="42">
                  <c:v>-1</c:v>
                </c:pt>
                <c:pt idx="43">
                  <c:v>1.31</c:v>
                </c:pt>
                <c:pt idx="44">
                  <c:v>-1</c:v>
                </c:pt>
                <c:pt idx="45">
                  <c:v>-1</c:v>
                </c:pt>
                <c:pt idx="46">
                  <c:v>1.62</c:v>
                </c:pt>
                <c:pt idx="47">
                  <c:v>2.25</c:v>
                </c:pt>
                <c:pt idx="48">
                  <c:v>3.67</c:v>
                </c:pt>
                <c:pt idx="49">
                  <c:v>-1</c:v>
                </c:pt>
                <c:pt idx="50">
                  <c:v>-1</c:v>
                </c:pt>
                <c:pt idx="51">
                  <c:v>1.75</c:v>
                </c:pt>
                <c:pt idx="52">
                  <c:v>0</c:v>
                </c:pt>
                <c:pt idx="53">
                  <c:v>1.6</c:v>
                </c:pt>
                <c:pt idx="54">
                  <c:v>2</c:v>
                </c:pt>
                <c:pt idx="55">
                  <c:v>1.23</c:v>
                </c:pt>
                <c:pt idx="56">
                  <c:v>1.1100000000000001</c:v>
                </c:pt>
                <c:pt idx="57">
                  <c:v>1.18</c:v>
                </c:pt>
                <c:pt idx="58">
                  <c:v>-1</c:v>
                </c:pt>
                <c:pt idx="59">
                  <c:v>1.39</c:v>
                </c:pt>
                <c:pt idx="60">
                  <c:v>1.0900000000000001</c:v>
                </c:pt>
                <c:pt idx="61">
                  <c:v>2.4300000000000002</c:v>
                </c:pt>
                <c:pt idx="62">
                  <c:v>-1</c:v>
                </c:pt>
                <c:pt idx="63">
                  <c:v>0</c:v>
                </c:pt>
                <c:pt idx="64">
                  <c:v>1.71</c:v>
                </c:pt>
                <c:pt idx="65">
                  <c:v>0.73</c:v>
                </c:pt>
                <c:pt idx="66">
                  <c:v>1</c:v>
                </c:pt>
                <c:pt idx="67">
                  <c:v>1.07</c:v>
                </c:pt>
                <c:pt idx="68">
                  <c:v>1.08</c:v>
                </c:pt>
                <c:pt idx="69">
                  <c:v>2.27</c:v>
                </c:pt>
                <c:pt idx="70">
                  <c:v>1.8</c:v>
                </c:pt>
                <c:pt idx="71">
                  <c:v>-1</c:v>
                </c:pt>
                <c:pt idx="72">
                  <c:v>1.27</c:v>
                </c:pt>
                <c:pt idx="73">
                  <c:v>2.57</c:v>
                </c:pt>
                <c:pt idx="74">
                  <c:v>0.67</c:v>
                </c:pt>
                <c:pt idx="75">
                  <c:v>-1</c:v>
                </c:pt>
                <c:pt idx="76">
                  <c:v>0.83</c:v>
                </c:pt>
                <c:pt idx="77">
                  <c:v>0.63</c:v>
                </c:pt>
                <c:pt idx="78">
                  <c:v>0</c:v>
                </c:pt>
                <c:pt idx="79">
                  <c:v>0.93</c:v>
                </c:pt>
                <c:pt idx="80">
                  <c:v>1.75</c:v>
                </c:pt>
                <c:pt idx="81">
                  <c:v>-1</c:v>
                </c:pt>
                <c:pt idx="82">
                  <c:v>0.67</c:v>
                </c:pt>
                <c:pt idx="83">
                  <c:v>0.67</c:v>
                </c:pt>
                <c:pt idx="84">
                  <c:v>0</c:v>
                </c:pt>
                <c:pt idx="85">
                  <c:v>1.73</c:v>
                </c:pt>
                <c:pt idx="86">
                  <c:v>0</c:v>
                </c:pt>
                <c:pt idx="87">
                  <c:v>1.7</c:v>
                </c:pt>
                <c:pt idx="88">
                  <c:v>1.54</c:v>
                </c:pt>
                <c:pt idx="89">
                  <c:v>1.76</c:v>
                </c:pt>
                <c:pt idx="90">
                  <c:v>1.58</c:v>
                </c:pt>
                <c:pt idx="91">
                  <c:v>0</c:v>
                </c:pt>
                <c:pt idx="92">
                  <c:v>1.72</c:v>
                </c:pt>
                <c:pt idx="93">
                  <c:v>1.83</c:v>
                </c:pt>
                <c:pt idx="94">
                  <c:v>1.64</c:v>
                </c:pt>
                <c:pt idx="95">
                  <c:v>1.1299999999999999</c:v>
                </c:pt>
                <c:pt idx="96">
                  <c:v>1.23</c:v>
                </c:pt>
                <c:pt idx="97">
                  <c:v>1.51</c:v>
                </c:pt>
                <c:pt idx="98">
                  <c:v>0</c:v>
                </c:pt>
                <c:pt idx="99">
                  <c:v>1.18</c:v>
                </c:pt>
                <c:pt idx="100">
                  <c:v>0</c:v>
                </c:pt>
                <c:pt idx="101">
                  <c:v>-1</c:v>
                </c:pt>
                <c:pt idx="102">
                  <c:v>0.62</c:v>
                </c:pt>
                <c:pt idx="103">
                  <c:v>1.53</c:v>
                </c:pt>
                <c:pt idx="104">
                  <c:v>0.25</c:v>
                </c:pt>
                <c:pt idx="105">
                  <c:v>1.83</c:v>
                </c:pt>
                <c:pt idx="106">
                  <c:v>1.45</c:v>
                </c:pt>
                <c:pt idx="107">
                  <c:v>1.8</c:v>
                </c:pt>
                <c:pt idx="108">
                  <c:v>0.67</c:v>
                </c:pt>
                <c:pt idx="109">
                  <c:v>2</c:v>
                </c:pt>
              </c:numCache>
            </c:numRef>
          </c:yVal>
          <c:smooth val="0"/>
          <c:extLst>
            <c:ext xmlns:c16="http://schemas.microsoft.com/office/drawing/2014/chart" uri="{C3380CC4-5D6E-409C-BE32-E72D297353CC}">
              <c16:uniqueId val="{00000000-0826-4CF6-9C51-1B5D03991E51}"/>
            </c:ext>
          </c:extLst>
        </c:ser>
        <c:ser>
          <c:idx val="1"/>
          <c:order val="1"/>
          <c:tx>
            <c:strRef>
              <c:f>correlation_table!$G$1</c:f>
              <c:strCache>
                <c:ptCount val="1"/>
                <c:pt idx="0">
                  <c:v>Night_kdr</c:v>
                </c:pt>
              </c:strCache>
            </c:strRef>
          </c:tx>
          <c:spPr>
            <a:ln w="38100" cap="rnd">
              <a:noFill/>
              <a:round/>
            </a:ln>
            <a:effectLst/>
          </c:spPr>
          <c:marker>
            <c:symbol val="circle"/>
            <c:size val="5"/>
            <c:spPr>
              <a:solidFill>
                <a:schemeClr val="accent2"/>
              </a:solidFill>
              <a:ln w="9525">
                <a:solidFill>
                  <a:schemeClr val="accent2"/>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correlation_table!$G$2:$G$111</c:f>
              <c:numCache>
                <c:formatCode>General</c:formatCode>
                <c:ptCount val="110"/>
                <c:pt idx="0">
                  <c:v>-1</c:v>
                </c:pt>
                <c:pt idx="1">
                  <c:v>1.81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1.57</c:v>
                </c:pt>
                <c:pt idx="26">
                  <c:v>1.88</c:v>
                </c:pt>
                <c:pt idx="27">
                  <c:v>0.62</c:v>
                </c:pt>
                <c:pt idx="28">
                  <c:v>-1</c:v>
                </c:pt>
                <c:pt idx="29">
                  <c:v>-1</c:v>
                </c:pt>
                <c:pt idx="30">
                  <c:v>-1</c:v>
                </c:pt>
                <c:pt idx="31">
                  <c:v>-1</c:v>
                </c:pt>
                <c:pt idx="32">
                  <c:v>1.97</c:v>
                </c:pt>
                <c:pt idx="33">
                  <c:v>-1</c:v>
                </c:pt>
                <c:pt idx="34">
                  <c:v>4</c:v>
                </c:pt>
                <c:pt idx="35">
                  <c:v>-1</c:v>
                </c:pt>
                <c:pt idx="36">
                  <c:v>-1</c:v>
                </c:pt>
                <c:pt idx="37">
                  <c:v>1.29</c:v>
                </c:pt>
                <c:pt idx="38">
                  <c:v>-1</c:v>
                </c:pt>
                <c:pt idx="39">
                  <c:v>1.5</c:v>
                </c:pt>
                <c:pt idx="40">
                  <c:v>1.62</c:v>
                </c:pt>
                <c:pt idx="41">
                  <c:v>0.73</c:v>
                </c:pt>
                <c:pt idx="42">
                  <c:v>-1</c:v>
                </c:pt>
                <c:pt idx="43">
                  <c:v>-1</c:v>
                </c:pt>
                <c:pt idx="44">
                  <c:v>2</c:v>
                </c:pt>
                <c:pt idx="45">
                  <c:v>-1</c:v>
                </c:pt>
                <c:pt idx="46">
                  <c:v>-1</c:v>
                </c:pt>
                <c:pt idx="47">
                  <c:v>-1</c:v>
                </c:pt>
                <c:pt idx="48">
                  <c:v>-1</c:v>
                </c:pt>
                <c:pt idx="49">
                  <c:v>0.83</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1.47</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1-0826-4CF6-9C51-1B5D03991E51}"/>
            </c:ext>
          </c:extLst>
        </c:ser>
        <c:ser>
          <c:idx val="2"/>
          <c:order val="2"/>
          <c:tx>
            <c:strRef>
              <c:f>correlation_table!$H$1</c:f>
              <c:strCache>
                <c:ptCount val="1"/>
                <c:pt idx="0">
                  <c:v>Morning_kdr</c:v>
                </c:pt>
              </c:strCache>
            </c:strRef>
          </c:tx>
          <c:spPr>
            <a:ln w="38100" cap="rnd">
              <a:noFill/>
              <a:round/>
            </a:ln>
            <a:effectLst/>
          </c:spPr>
          <c:marker>
            <c:symbol val="circle"/>
            <c:size val="5"/>
            <c:spPr>
              <a:solidFill>
                <a:schemeClr val="accent3"/>
              </a:solidFill>
              <a:ln w="9525">
                <a:solidFill>
                  <a:schemeClr val="accent3"/>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correlation_table!$H$2:$H$111</c:f>
              <c:numCache>
                <c:formatCode>General</c:formatCode>
                <c:ptCount val="11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2-0826-4CF6-9C51-1B5D03991E51}"/>
            </c:ext>
          </c:extLst>
        </c:ser>
        <c:ser>
          <c:idx val="3"/>
          <c:order val="3"/>
          <c:tx>
            <c:strRef>
              <c:f>correlation_table!$I$1</c:f>
              <c:strCache>
                <c:ptCount val="1"/>
                <c:pt idx="0">
                  <c:v>Afternoon_kdr</c:v>
                </c:pt>
              </c:strCache>
            </c:strRef>
          </c:tx>
          <c:spPr>
            <a:ln w="38100" cap="rnd">
              <a:noFill/>
              <a:round/>
            </a:ln>
            <a:effectLst/>
          </c:spPr>
          <c:marker>
            <c:symbol val="circle"/>
            <c:size val="5"/>
            <c:spPr>
              <a:solidFill>
                <a:schemeClr val="accent4"/>
              </a:solidFill>
              <a:ln w="9525">
                <a:solidFill>
                  <a:schemeClr val="accent4"/>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correlation_table!$I$2:$I$111</c:f>
              <c:numCache>
                <c:formatCode>General</c:formatCode>
                <c:ptCount val="110"/>
                <c:pt idx="0">
                  <c:v>-1</c:v>
                </c:pt>
                <c:pt idx="1">
                  <c:v>-1</c:v>
                </c:pt>
                <c:pt idx="2">
                  <c:v>-1</c:v>
                </c:pt>
                <c:pt idx="3">
                  <c:v>2.21</c:v>
                </c:pt>
                <c:pt idx="4">
                  <c:v>1.03</c:v>
                </c:pt>
                <c:pt idx="5">
                  <c:v>-1</c:v>
                </c:pt>
                <c:pt idx="6">
                  <c:v>-1</c:v>
                </c:pt>
                <c:pt idx="7">
                  <c:v>-1</c:v>
                </c:pt>
                <c:pt idx="8">
                  <c:v>-1</c:v>
                </c:pt>
                <c:pt idx="9">
                  <c:v>-1</c:v>
                </c:pt>
                <c:pt idx="10">
                  <c:v>1.57</c:v>
                </c:pt>
                <c:pt idx="11">
                  <c:v>-1</c:v>
                </c:pt>
                <c:pt idx="12">
                  <c:v>-1</c:v>
                </c:pt>
                <c:pt idx="13">
                  <c:v>-1</c:v>
                </c:pt>
                <c:pt idx="14">
                  <c:v>1.33</c:v>
                </c:pt>
                <c:pt idx="15">
                  <c:v>-1</c:v>
                </c:pt>
                <c:pt idx="16">
                  <c:v>-1</c:v>
                </c:pt>
                <c:pt idx="17">
                  <c:v>2.2999999999999998</c:v>
                </c:pt>
                <c:pt idx="18">
                  <c:v>-1</c:v>
                </c:pt>
                <c:pt idx="19">
                  <c:v>-1</c:v>
                </c:pt>
                <c:pt idx="20">
                  <c:v>-1</c:v>
                </c:pt>
                <c:pt idx="21">
                  <c:v>-1</c:v>
                </c:pt>
                <c:pt idx="22">
                  <c:v>-1</c:v>
                </c:pt>
                <c:pt idx="23">
                  <c:v>2</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3.23</c:v>
                </c:pt>
                <c:pt idx="46">
                  <c:v>-1</c:v>
                </c:pt>
                <c:pt idx="47">
                  <c:v>-1</c:v>
                </c:pt>
                <c:pt idx="48">
                  <c:v>-1</c:v>
                </c:pt>
                <c:pt idx="49">
                  <c:v>-1</c:v>
                </c:pt>
                <c:pt idx="50">
                  <c:v>2.15</c:v>
                </c:pt>
                <c:pt idx="51">
                  <c:v>-1</c:v>
                </c:pt>
                <c:pt idx="52">
                  <c:v>-1</c:v>
                </c:pt>
                <c:pt idx="53">
                  <c:v>-1</c:v>
                </c:pt>
                <c:pt idx="54">
                  <c:v>-1</c:v>
                </c:pt>
                <c:pt idx="55">
                  <c:v>-1</c:v>
                </c:pt>
                <c:pt idx="56">
                  <c:v>-1</c:v>
                </c:pt>
                <c:pt idx="57">
                  <c:v>-1</c:v>
                </c:pt>
                <c:pt idx="58">
                  <c:v>1.6</c:v>
                </c:pt>
                <c:pt idx="59">
                  <c:v>-1</c:v>
                </c:pt>
                <c:pt idx="60">
                  <c:v>-1</c:v>
                </c:pt>
                <c:pt idx="61">
                  <c:v>-1</c:v>
                </c:pt>
                <c:pt idx="62">
                  <c:v>0</c:v>
                </c:pt>
                <c:pt idx="63">
                  <c:v>-1</c:v>
                </c:pt>
                <c:pt idx="64">
                  <c:v>-1</c:v>
                </c:pt>
                <c:pt idx="65">
                  <c:v>-1</c:v>
                </c:pt>
                <c:pt idx="66">
                  <c:v>-1</c:v>
                </c:pt>
                <c:pt idx="67">
                  <c:v>-1</c:v>
                </c:pt>
                <c:pt idx="68">
                  <c:v>-1</c:v>
                </c:pt>
                <c:pt idx="69">
                  <c:v>-1</c:v>
                </c:pt>
                <c:pt idx="70">
                  <c:v>-1</c:v>
                </c:pt>
                <c:pt idx="71">
                  <c:v>-1</c:v>
                </c:pt>
                <c:pt idx="72">
                  <c:v>-1</c:v>
                </c:pt>
                <c:pt idx="73">
                  <c:v>-1</c:v>
                </c:pt>
                <c:pt idx="74">
                  <c:v>-1</c:v>
                </c:pt>
                <c:pt idx="75">
                  <c:v>1.67</c:v>
                </c:pt>
                <c:pt idx="76">
                  <c:v>-1</c:v>
                </c:pt>
                <c:pt idx="77">
                  <c:v>-1</c:v>
                </c:pt>
                <c:pt idx="78">
                  <c:v>-1</c:v>
                </c:pt>
                <c:pt idx="79">
                  <c:v>-1</c:v>
                </c:pt>
                <c:pt idx="80">
                  <c:v>-1</c:v>
                </c:pt>
                <c:pt idx="81">
                  <c:v>1.55</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0.5</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3-0826-4CF6-9C51-1B5D03991E51}"/>
            </c:ext>
          </c:extLst>
        </c:ser>
        <c:dLbls>
          <c:showLegendKey val="0"/>
          <c:showVal val="0"/>
          <c:showCatName val="0"/>
          <c:showSerName val="0"/>
          <c:showPercent val="0"/>
          <c:showBubbleSize val="0"/>
        </c:dLbls>
        <c:axId val="878517519"/>
        <c:axId val="878545359"/>
      </c:scatterChart>
      <c:valAx>
        <c:axId val="878517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45359"/>
        <c:crosses val="autoZero"/>
        <c:crossBetween val="midCat"/>
      </c:valAx>
      <c:valAx>
        <c:axId val="878545359"/>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KDR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17519"/>
        <c:crosses val="autoZero"/>
        <c:crossBetween val="midCat"/>
      </c:valAx>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Session Duration vs HS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correlation_table!$J$1</c:f>
              <c:strCache>
                <c:ptCount val="1"/>
                <c:pt idx="0">
                  <c:v>Evening_hs_pct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correlation_table!$J$2:$J$111</c:f>
              <c:numCache>
                <c:formatCode>General</c:formatCode>
                <c:ptCount val="110"/>
                <c:pt idx="0">
                  <c:v>76.92</c:v>
                </c:pt>
                <c:pt idx="1">
                  <c:v>-1</c:v>
                </c:pt>
                <c:pt idx="2">
                  <c:v>-1</c:v>
                </c:pt>
                <c:pt idx="3">
                  <c:v>-1</c:v>
                </c:pt>
                <c:pt idx="4">
                  <c:v>-1</c:v>
                </c:pt>
                <c:pt idx="5">
                  <c:v>75</c:v>
                </c:pt>
                <c:pt idx="6">
                  <c:v>0</c:v>
                </c:pt>
                <c:pt idx="7">
                  <c:v>100</c:v>
                </c:pt>
                <c:pt idx="8">
                  <c:v>67.92</c:v>
                </c:pt>
                <c:pt idx="9">
                  <c:v>100</c:v>
                </c:pt>
                <c:pt idx="10">
                  <c:v>-1</c:v>
                </c:pt>
                <c:pt idx="11">
                  <c:v>79.22</c:v>
                </c:pt>
                <c:pt idx="12">
                  <c:v>-1</c:v>
                </c:pt>
                <c:pt idx="13">
                  <c:v>76.19</c:v>
                </c:pt>
                <c:pt idx="14">
                  <c:v>-1</c:v>
                </c:pt>
                <c:pt idx="15">
                  <c:v>77.42</c:v>
                </c:pt>
                <c:pt idx="16">
                  <c:v>75</c:v>
                </c:pt>
                <c:pt idx="17">
                  <c:v>-1</c:v>
                </c:pt>
                <c:pt idx="18">
                  <c:v>76.92</c:v>
                </c:pt>
                <c:pt idx="19">
                  <c:v>71.430000000000007</c:v>
                </c:pt>
                <c:pt idx="20">
                  <c:v>85.33</c:v>
                </c:pt>
                <c:pt idx="21">
                  <c:v>80</c:v>
                </c:pt>
                <c:pt idx="22">
                  <c:v>83.33</c:v>
                </c:pt>
                <c:pt idx="23">
                  <c:v>-1</c:v>
                </c:pt>
                <c:pt idx="24">
                  <c:v>57.58</c:v>
                </c:pt>
                <c:pt idx="25">
                  <c:v>-1</c:v>
                </c:pt>
                <c:pt idx="26">
                  <c:v>-1</c:v>
                </c:pt>
                <c:pt idx="27">
                  <c:v>-1</c:v>
                </c:pt>
                <c:pt idx="28">
                  <c:v>74.760000000000005</c:v>
                </c:pt>
                <c:pt idx="29">
                  <c:v>63.64</c:v>
                </c:pt>
                <c:pt idx="30">
                  <c:v>83.33</c:v>
                </c:pt>
                <c:pt idx="31">
                  <c:v>83.33</c:v>
                </c:pt>
                <c:pt idx="32">
                  <c:v>-1</c:v>
                </c:pt>
                <c:pt idx="33">
                  <c:v>75</c:v>
                </c:pt>
                <c:pt idx="34">
                  <c:v>-1</c:v>
                </c:pt>
                <c:pt idx="35">
                  <c:v>61.11</c:v>
                </c:pt>
                <c:pt idx="36">
                  <c:v>71.05</c:v>
                </c:pt>
                <c:pt idx="37">
                  <c:v>-1</c:v>
                </c:pt>
                <c:pt idx="38">
                  <c:v>64</c:v>
                </c:pt>
                <c:pt idx="39">
                  <c:v>-1</c:v>
                </c:pt>
                <c:pt idx="40">
                  <c:v>-1</c:v>
                </c:pt>
                <c:pt idx="41">
                  <c:v>-1</c:v>
                </c:pt>
                <c:pt idx="42">
                  <c:v>-1</c:v>
                </c:pt>
                <c:pt idx="43">
                  <c:v>82.35</c:v>
                </c:pt>
                <c:pt idx="44">
                  <c:v>-1</c:v>
                </c:pt>
                <c:pt idx="45">
                  <c:v>-1</c:v>
                </c:pt>
                <c:pt idx="46">
                  <c:v>79.41</c:v>
                </c:pt>
                <c:pt idx="47">
                  <c:v>88.89</c:v>
                </c:pt>
                <c:pt idx="48">
                  <c:v>63.64</c:v>
                </c:pt>
                <c:pt idx="49">
                  <c:v>-1</c:v>
                </c:pt>
                <c:pt idx="50">
                  <c:v>-1</c:v>
                </c:pt>
                <c:pt idx="51">
                  <c:v>85.71</c:v>
                </c:pt>
                <c:pt idx="52">
                  <c:v>0</c:v>
                </c:pt>
                <c:pt idx="53">
                  <c:v>81.25</c:v>
                </c:pt>
                <c:pt idx="54">
                  <c:v>79.55</c:v>
                </c:pt>
                <c:pt idx="55">
                  <c:v>87.5</c:v>
                </c:pt>
                <c:pt idx="56">
                  <c:v>90</c:v>
                </c:pt>
                <c:pt idx="57">
                  <c:v>82.61</c:v>
                </c:pt>
                <c:pt idx="58">
                  <c:v>-1</c:v>
                </c:pt>
                <c:pt idx="59">
                  <c:v>77.94</c:v>
                </c:pt>
                <c:pt idx="60">
                  <c:v>80</c:v>
                </c:pt>
                <c:pt idx="61">
                  <c:v>76.790000000000006</c:v>
                </c:pt>
                <c:pt idx="62">
                  <c:v>-1</c:v>
                </c:pt>
                <c:pt idx="63">
                  <c:v>0</c:v>
                </c:pt>
                <c:pt idx="64">
                  <c:v>80.56</c:v>
                </c:pt>
                <c:pt idx="65">
                  <c:v>95.45</c:v>
                </c:pt>
                <c:pt idx="66">
                  <c:v>100</c:v>
                </c:pt>
                <c:pt idx="67">
                  <c:v>73.33</c:v>
                </c:pt>
                <c:pt idx="68">
                  <c:v>76.92</c:v>
                </c:pt>
                <c:pt idx="69">
                  <c:v>80</c:v>
                </c:pt>
                <c:pt idx="70">
                  <c:v>44.44</c:v>
                </c:pt>
                <c:pt idx="71">
                  <c:v>-1</c:v>
                </c:pt>
                <c:pt idx="72">
                  <c:v>92.86</c:v>
                </c:pt>
                <c:pt idx="73">
                  <c:v>100</c:v>
                </c:pt>
                <c:pt idx="74">
                  <c:v>100</c:v>
                </c:pt>
                <c:pt idx="75">
                  <c:v>-1</c:v>
                </c:pt>
                <c:pt idx="76">
                  <c:v>40</c:v>
                </c:pt>
                <c:pt idx="77">
                  <c:v>91.67</c:v>
                </c:pt>
                <c:pt idx="78">
                  <c:v>0</c:v>
                </c:pt>
                <c:pt idx="79">
                  <c:v>84.62</c:v>
                </c:pt>
                <c:pt idx="80">
                  <c:v>71.430000000000007</c:v>
                </c:pt>
                <c:pt idx="81">
                  <c:v>-1</c:v>
                </c:pt>
                <c:pt idx="82">
                  <c:v>75</c:v>
                </c:pt>
                <c:pt idx="83">
                  <c:v>0</c:v>
                </c:pt>
                <c:pt idx="84">
                  <c:v>0</c:v>
                </c:pt>
                <c:pt idx="85">
                  <c:v>77.78</c:v>
                </c:pt>
                <c:pt idx="86">
                  <c:v>0</c:v>
                </c:pt>
                <c:pt idx="87">
                  <c:v>70.59</c:v>
                </c:pt>
                <c:pt idx="88">
                  <c:v>77.5</c:v>
                </c:pt>
                <c:pt idx="89">
                  <c:v>75.95</c:v>
                </c:pt>
                <c:pt idx="90">
                  <c:v>68.42</c:v>
                </c:pt>
                <c:pt idx="91">
                  <c:v>0</c:v>
                </c:pt>
                <c:pt idx="92">
                  <c:v>74</c:v>
                </c:pt>
                <c:pt idx="93">
                  <c:v>90.91</c:v>
                </c:pt>
                <c:pt idx="94">
                  <c:v>88.89</c:v>
                </c:pt>
                <c:pt idx="95">
                  <c:v>71.11</c:v>
                </c:pt>
                <c:pt idx="96">
                  <c:v>68.48</c:v>
                </c:pt>
                <c:pt idx="97">
                  <c:v>71.430000000000007</c:v>
                </c:pt>
                <c:pt idx="98">
                  <c:v>0</c:v>
                </c:pt>
                <c:pt idx="99">
                  <c:v>87.34</c:v>
                </c:pt>
                <c:pt idx="100">
                  <c:v>0</c:v>
                </c:pt>
                <c:pt idx="101">
                  <c:v>-1</c:v>
                </c:pt>
                <c:pt idx="102">
                  <c:v>87.5</c:v>
                </c:pt>
                <c:pt idx="103">
                  <c:v>81.94</c:v>
                </c:pt>
                <c:pt idx="104">
                  <c:v>100</c:v>
                </c:pt>
                <c:pt idx="105">
                  <c:v>81.819999999999993</c:v>
                </c:pt>
                <c:pt idx="106">
                  <c:v>93.1</c:v>
                </c:pt>
                <c:pt idx="107">
                  <c:v>88.89</c:v>
                </c:pt>
                <c:pt idx="108">
                  <c:v>0</c:v>
                </c:pt>
                <c:pt idx="109">
                  <c:v>66.67</c:v>
                </c:pt>
              </c:numCache>
            </c:numRef>
          </c:yVal>
          <c:smooth val="0"/>
          <c:extLst>
            <c:ext xmlns:c16="http://schemas.microsoft.com/office/drawing/2014/chart" uri="{C3380CC4-5D6E-409C-BE32-E72D297353CC}">
              <c16:uniqueId val="{00000000-D947-4922-8D87-157D2B756DC9}"/>
            </c:ext>
          </c:extLst>
        </c:ser>
        <c:ser>
          <c:idx val="1"/>
          <c:order val="1"/>
          <c:tx>
            <c:strRef>
              <c:f>correlation_table!$K$1</c:f>
              <c:strCache>
                <c:ptCount val="1"/>
                <c:pt idx="0">
                  <c:v>Night_hs_pct</c:v>
                </c:pt>
              </c:strCache>
            </c:strRef>
          </c:tx>
          <c:spPr>
            <a:ln w="38100" cap="rnd">
              <a:noFill/>
              <a:round/>
            </a:ln>
            <a:effectLst/>
          </c:spPr>
          <c:marker>
            <c:symbol val="circle"/>
            <c:size val="5"/>
            <c:spPr>
              <a:solidFill>
                <a:schemeClr val="accent2"/>
              </a:solidFill>
              <a:ln w="9525">
                <a:solidFill>
                  <a:schemeClr val="accent2"/>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correlation_table!$K$2:$K$111</c:f>
              <c:numCache>
                <c:formatCode>General</c:formatCode>
                <c:ptCount val="110"/>
                <c:pt idx="0">
                  <c:v>-1</c:v>
                </c:pt>
                <c:pt idx="1">
                  <c:v>80.260000000000005</c:v>
                </c:pt>
                <c:pt idx="2">
                  <c:v>-1</c:v>
                </c:pt>
                <c:pt idx="3">
                  <c:v>-1</c:v>
                </c:pt>
                <c:pt idx="4">
                  <c:v>-1</c:v>
                </c:pt>
                <c:pt idx="5">
                  <c:v>-1</c:v>
                </c:pt>
                <c:pt idx="6">
                  <c:v>-1</c:v>
                </c:pt>
                <c:pt idx="7">
                  <c:v>-1</c:v>
                </c:pt>
                <c:pt idx="8">
                  <c:v>-1</c:v>
                </c:pt>
                <c:pt idx="9">
                  <c:v>-1</c:v>
                </c:pt>
                <c:pt idx="10">
                  <c:v>-1</c:v>
                </c:pt>
                <c:pt idx="11">
                  <c:v>-1</c:v>
                </c:pt>
                <c:pt idx="12">
                  <c:v>100</c:v>
                </c:pt>
                <c:pt idx="13">
                  <c:v>-1</c:v>
                </c:pt>
                <c:pt idx="14">
                  <c:v>-1</c:v>
                </c:pt>
                <c:pt idx="15">
                  <c:v>-1</c:v>
                </c:pt>
                <c:pt idx="16">
                  <c:v>-1</c:v>
                </c:pt>
                <c:pt idx="17">
                  <c:v>-1</c:v>
                </c:pt>
                <c:pt idx="18">
                  <c:v>-1</c:v>
                </c:pt>
                <c:pt idx="19">
                  <c:v>-1</c:v>
                </c:pt>
                <c:pt idx="20">
                  <c:v>-1</c:v>
                </c:pt>
                <c:pt idx="21">
                  <c:v>-1</c:v>
                </c:pt>
                <c:pt idx="22">
                  <c:v>-1</c:v>
                </c:pt>
                <c:pt idx="23">
                  <c:v>-1</c:v>
                </c:pt>
                <c:pt idx="24">
                  <c:v>-1</c:v>
                </c:pt>
                <c:pt idx="25">
                  <c:v>90.91</c:v>
                </c:pt>
                <c:pt idx="26">
                  <c:v>86.67</c:v>
                </c:pt>
                <c:pt idx="27">
                  <c:v>68.75</c:v>
                </c:pt>
                <c:pt idx="28">
                  <c:v>-1</c:v>
                </c:pt>
                <c:pt idx="29">
                  <c:v>-1</c:v>
                </c:pt>
                <c:pt idx="30">
                  <c:v>-1</c:v>
                </c:pt>
                <c:pt idx="31">
                  <c:v>-1</c:v>
                </c:pt>
                <c:pt idx="32">
                  <c:v>76.06</c:v>
                </c:pt>
                <c:pt idx="33">
                  <c:v>-1</c:v>
                </c:pt>
                <c:pt idx="34">
                  <c:v>91.67</c:v>
                </c:pt>
                <c:pt idx="35">
                  <c:v>-1</c:v>
                </c:pt>
                <c:pt idx="36">
                  <c:v>-1</c:v>
                </c:pt>
                <c:pt idx="37">
                  <c:v>66.67</c:v>
                </c:pt>
                <c:pt idx="38">
                  <c:v>-1</c:v>
                </c:pt>
                <c:pt idx="39">
                  <c:v>77.78</c:v>
                </c:pt>
                <c:pt idx="40">
                  <c:v>63.83</c:v>
                </c:pt>
                <c:pt idx="41">
                  <c:v>50</c:v>
                </c:pt>
                <c:pt idx="42">
                  <c:v>-1</c:v>
                </c:pt>
                <c:pt idx="43">
                  <c:v>-1</c:v>
                </c:pt>
                <c:pt idx="44">
                  <c:v>100</c:v>
                </c:pt>
                <c:pt idx="45">
                  <c:v>-1</c:v>
                </c:pt>
                <c:pt idx="46">
                  <c:v>-1</c:v>
                </c:pt>
                <c:pt idx="47">
                  <c:v>-1</c:v>
                </c:pt>
                <c:pt idx="48">
                  <c:v>-1</c:v>
                </c:pt>
                <c:pt idx="49">
                  <c:v>80</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72.73</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1-D947-4922-8D87-157D2B756DC9}"/>
            </c:ext>
          </c:extLst>
        </c:ser>
        <c:ser>
          <c:idx val="2"/>
          <c:order val="2"/>
          <c:tx>
            <c:strRef>
              <c:f>correlation_table!$L$1</c:f>
              <c:strCache>
                <c:ptCount val="1"/>
                <c:pt idx="0">
                  <c:v>Morning_hs_pct</c:v>
                </c:pt>
              </c:strCache>
            </c:strRef>
          </c:tx>
          <c:spPr>
            <a:ln w="38100" cap="rnd">
              <a:noFill/>
              <a:round/>
            </a:ln>
            <a:effectLst/>
          </c:spPr>
          <c:marker>
            <c:symbol val="circle"/>
            <c:size val="5"/>
            <c:spPr>
              <a:solidFill>
                <a:schemeClr val="accent3"/>
              </a:solidFill>
              <a:ln w="9525">
                <a:solidFill>
                  <a:schemeClr val="accent3"/>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correlation_table!$L$2:$L$111</c:f>
              <c:numCache>
                <c:formatCode>General</c:formatCode>
                <c:ptCount val="110"/>
                <c:pt idx="0">
                  <c:v>-1</c:v>
                </c:pt>
                <c:pt idx="1">
                  <c:v>-1</c:v>
                </c:pt>
                <c:pt idx="2">
                  <c:v>100</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100</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2-D947-4922-8D87-157D2B756DC9}"/>
            </c:ext>
          </c:extLst>
        </c:ser>
        <c:ser>
          <c:idx val="3"/>
          <c:order val="3"/>
          <c:tx>
            <c:strRef>
              <c:f>correlation_table!$M$1</c:f>
              <c:strCache>
                <c:ptCount val="1"/>
                <c:pt idx="0">
                  <c:v>Afternoon_hs_pct</c:v>
                </c:pt>
              </c:strCache>
            </c:strRef>
          </c:tx>
          <c:spPr>
            <a:ln w="38100" cap="rnd">
              <a:noFill/>
              <a:round/>
            </a:ln>
            <a:effectLst/>
          </c:spPr>
          <c:marker>
            <c:symbol val="circle"/>
            <c:size val="5"/>
            <c:spPr>
              <a:solidFill>
                <a:schemeClr val="accent4"/>
              </a:solidFill>
              <a:ln w="9525">
                <a:solidFill>
                  <a:schemeClr val="accent4"/>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correlation_table!$M$2:$M$111</c:f>
              <c:numCache>
                <c:formatCode>General</c:formatCode>
                <c:ptCount val="110"/>
                <c:pt idx="0">
                  <c:v>-1</c:v>
                </c:pt>
                <c:pt idx="1">
                  <c:v>-1</c:v>
                </c:pt>
                <c:pt idx="2">
                  <c:v>-1</c:v>
                </c:pt>
                <c:pt idx="3">
                  <c:v>81.13</c:v>
                </c:pt>
                <c:pt idx="4">
                  <c:v>73.53</c:v>
                </c:pt>
                <c:pt idx="5">
                  <c:v>-1</c:v>
                </c:pt>
                <c:pt idx="6">
                  <c:v>-1</c:v>
                </c:pt>
                <c:pt idx="7">
                  <c:v>-1</c:v>
                </c:pt>
                <c:pt idx="8">
                  <c:v>-1</c:v>
                </c:pt>
                <c:pt idx="9">
                  <c:v>-1</c:v>
                </c:pt>
                <c:pt idx="10">
                  <c:v>72.73</c:v>
                </c:pt>
                <c:pt idx="11">
                  <c:v>-1</c:v>
                </c:pt>
                <c:pt idx="12">
                  <c:v>-1</c:v>
                </c:pt>
                <c:pt idx="13">
                  <c:v>-1</c:v>
                </c:pt>
                <c:pt idx="14">
                  <c:v>93.75</c:v>
                </c:pt>
                <c:pt idx="15">
                  <c:v>-1</c:v>
                </c:pt>
                <c:pt idx="16">
                  <c:v>-1</c:v>
                </c:pt>
                <c:pt idx="17">
                  <c:v>82.61</c:v>
                </c:pt>
                <c:pt idx="18">
                  <c:v>-1</c:v>
                </c:pt>
                <c:pt idx="19">
                  <c:v>-1</c:v>
                </c:pt>
                <c:pt idx="20">
                  <c:v>-1</c:v>
                </c:pt>
                <c:pt idx="21">
                  <c:v>-1</c:v>
                </c:pt>
                <c:pt idx="22">
                  <c:v>-1</c:v>
                </c:pt>
                <c:pt idx="23">
                  <c:v>88.89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76.06</c:v>
                </c:pt>
                <c:pt idx="46">
                  <c:v>-1</c:v>
                </c:pt>
                <c:pt idx="47">
                  <c:v>-1</c:v>
                </c:pt>
                <c:pt idx="48">
                  <c:v>-1</c:v>
                </c:pt>
                <c:pt idx="49">
                  <c:v>-1</c:v>
                </c:pt>
                <c:pt idx="50">
                  <c:v>85.71</c:v>
                </c:pt>
                <c:pt idx="51">
                  <c:v>-1</c:v>
                </c:pt>
                <c:pt idx="52">
                  <c:v>-1</c:v>
                </c:pt>
                <c:pt idx="53">
                  <c:v>-1</c:v>
                </c:pt>
                <c:pt idx="54">
                  <c:v>-1</c:v>
                </c:pt>
                <c:pt idx="55">
                  <c:v>-1</c:v>
                </c:pt>
                <c:pt idx="56">
                  <c:v>-1</c:v>
                </c:pt>
                <c:pt idx="57">
                  <c:v>-1</c:v>
                </c:pt>
                <c:pt idx="58">
                  <c:v>69.11</c:v>
                </c:pt>
                <c:pt idx="59">
                  <c:v>-1</c:v>
                </c:pt>
                <c:pt idx="60">
                  <c:v>-1</c:v>
                </c:pt>
                <c:pt idx="61">
                  <c:v>-1</c:v>
                </c:pt>
                <c:pt idx="62">
                  <c:v>0</c:v>
                </c:pt>
                <c:pt idx="63">
                  <c:v>-1</c:v>
                </c:pt>
                <c:pt idx="64">
                  <c:v>-1</c:v>
                </c:pt>
                <c:pt idx="65">
                  <c:v>-1</c:v>
                </c:pt>
                <c:pt idx="66">
                  <c:v>-1</c:v>
                </c:pt>
                <c:pt idx="67">
                  <c:v>-1</c:v>
                </c:pt>
                <c:pt idx="68">
                  <c:v>-1</c:v>
                </c:pt>
                <c:pt idx="69">
                  <c:v>-1</c:v>
                </c:pt>
                <c:pt idx="70">
                  <c:v>-1</c:v>
                </c:pt>
                <c:pt idx="71">
                  <c:v>-1</c:v>
                </c:pt>
                <c:pt idx="72">
                  <c:v>-1</c:v>
                </c:pt>
                <c:pt idx="73">
                  <c:v>-1</c:v>
                </c:pt>
                <c:pt idx="74">
                  <c:v>-1</c:v>
                </c:pt>
                <c:pt idx="75">
                  <c:v>100</c:v>
                </c:pt>
                <c:pt idx="76">
                  <c:v>-1</c:v>
                </c:pt>
                <c:pt idx="77">
                  <c:v>-1</c:v>
                </c:pt>
                <c:pt idx="78">
                  <c:v>-1</c:v>
                </c:pt>
                <c:pt idx="79">
                  <c:v>-1</c:v>
                </c:pt>
                <c:pt idx="80">
                  <c:v>-1</c:v>
                </c:pt>
                <c:pt idx="81">
                  <c:v>75.61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66.67</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3-D947-4922-8D87-157D2B756DC9}"/>
            </c:ext>
          </c:extLst>
        </c:ser>
        <c:dLbls>
          <c:showLegendKey val="0"/>
          <c:showVal val="0"/>
          <c:showCatName val="0"/>
          <c:showSerName val="0"/>
          <c:showPercent val="0"/>
          <c:showBubbleSize val="0"/>
        </c:dLbls>
        <c:axId val="2090877823"/>
        <c:axId val="2090628703"/>
      </c:scatterChart>
      <c:valAx>
        <c:axId val="2090877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628703"/>
        <c:crosses val="autoZero"/>
        <c:crossBetween val="midCat"/>
      </c:valAx>
      <c:valAx>
        <c:axId val="2090628703"/>
        <c:scaling>
          <c:orientation val="minMax"/>
          <c:max val="1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877823"/>
        <c:crosses val="autoZero"/>
        <c:crossBetween val="midCat"/>
      </c:valAx>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Session KDR vs HS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correlation_table!$D$1</c:f>
              <c:strCache>
                <c:ptCount val="1"/>
                <c:pt idx="0">
                  <c:v>session_hs_pct</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correlation_table!$C$2:$C$111</c:f>
              <c:numCache>
                <c:formatCode>General</c:formatCode>
                <c:ptCount val="110"/>
                <c:pt idx="0">
                  <c:v>1.37</c:v>
                </c:pt>
                <c:pt idx="1">
                  <c:v>1.81</c:v>
                </c:pt>
                <c:pt idx="2">
                  <c:v>1</c:v>
                </c:pt>
                <c:pt idx="3">
                  <c:v>2.21</c:v>
                </c:pt>
                <c:pt idx="4">
                  <c:v>1.03</c:v>
                </c:pt>
                <c:pt idx="5">
                  <c:v>1.67</c:v>
                </c:pt>
                <c:pt idx="6">
                  <c:v>0</c:v>
                </c:pt>
                <c:pt idx="7">
                  <c:v>1</c:v>
                </c:pt>
                <c:pt idx="8">
                  <c:v>1.23</c:v>
                </c:pt>
                <c:pt idx="9">
                  <c:v>0</c:v>
                </c:pt>
                <c:pt idx="10">
                  <c:v>1.57</c:v>
                </c:pt>
                <c:pt idx="11">
                  <c:v>1.26</c:v>
                </c:pt>
                <c:pt idx="12">
                  <c:v>1</c:v>
                </c:pt>
                <c:pt idx="13">
                  <c:v>3.23</c:v>
                </c:pt>
                <c:pt idx="14">
                  <c:v>1.33</c:v>
                </c:pt>
                <c:pt idx="15">
                  <c:v>1.82</c:v>
                </c:pt>
                <c:pt idx="16">
                  <c:v>1.6</c:v>
                </c:pt>
                <c:pt idx="17">
                  <c:v>2.2999999999999998</c:v>
                </c:pt>
                <c:pt idx="18">
                  <c:v>3.25</c:v>
                </c:pt>
                <c:pt idx="19">
                  <c:v>2.2599999999999998</c:v>
                </c:pt>
                <c:pt idx="20">
                  <c:v>1.25</c:v>
                </c:pt>
                <c:pt idx="21">
                  <c:v>1.67</c:v>
                </c:pt>
                <c:pt idx="22">
                  <c:v>6</c:v>
                </c:pt>
                <c:pt idx="23">
                  <c:v>2</c:v>
                </c:pt>
                <c:pt idx="24">
                  <c:v>1.65</c:v>
                </c:pt>
                <c:pt idx="25">
                  <c:v>1.57</c:v>
                </c:pt>
                <c:pt idx="26">
                  <c:v>1.88</c:v>
                </c:pt>
                <c:pt idx="27">
                  <c:v>0.62</c:v>
                </c:pt>
                <c:pt idx="28">
                  <c:v>1.87</c:v>
                </c:pt>
                <c:pt idx="29">
                  <c:v>0.92</c:v>
                </c:pt>
                <c:pt idx="30">
                  <c:v>0.5</c:v>
                </c:pt>
                <c:pt idx="31">
                  <c:v>1.5</c:v>
                </c:pt>
                <c:pt idx="32">
                  <c:v>1.97</c:v>
                </c:pt>
                <c:pt idx="33">
                  <c:v>1.4</c:v>
                </c:pt>
                <c:pt idx="34">
                  <c:v>4</c:v>
                </c:pt>
                <c:pt idx="35">
                  <c:v>1.2</c:v>
                </c:pt>
                <c:pt idx="36">
                  <c:v>1.52</c:v>
                </c:pt>
                <c:pt idx="37">
                  <c:v>1.29</c:v>
                </c:pt>
                <c:pt idx="38">
                  <c:v>1.19</c:v>
                </c:pt>
                <c:pt idx="39">
                  <c:v>1.5</c:v>
                </c:pt>
                <c:pt idx="40">
                  <c:v>1.62</c:v>
                </c:pt>
                <c:pt idx="41">
                  <c:v>0.73</c:v>
                </c:pt>
                <c:pt idx="42">
                  <c:v>1</c:v>
                </c:pt>
                <c:pt idx="43">
                  <c:v>1.31</c:v>
                </c:pt>
                <c:pt idx="44">
                  <c:v>2</c:v>
                </c:pt>
                <c:pt idx="45">
                  <c:v>3.23</c:v>
                </c:pt>
                <c:pt idx="46">
                  <c:v>1.62</c:v>
                </c:pt>
                <c:pt idx="47">
                  <c:v>2.25</c:v>
                </c:pt>
                <c:pt idx="48">
                  <c:v>3.67</c:v>
                </c:pt>
                <c:pt idx="49">
                  <c:v>0.83</c:v>
                </c:pt>
                <c:pt idx="50">
                  <c:v>2.15</c:v>
                </c:pt>
                <c:pt idx="51">
                  <c:v>1.75</c:v>
                </c:pt>
                <c:pt idx="52">
                  <c:v>0</c:v>
                </c:pt>
                <c:pt idx="53">
                  <c:v>1.6</c:v>
                </c:pt>
                <c:pt idx="54">
                  <c:v>2</c:v>
                </c:pt>
                <c:pt idx="55">
                  <c:v>1.23</c:v>
                </c:pt>
                <c:pt idx="56">
                  <c:v>1.1100000000000001</c:v>
                </c:pt>
                <c:pt idx="57">
                  <c:v>1.18</c:v>
                </c:pt>
                <c:pt idx="58">
                  <c:v>1.6</c:v>
                </c:pt>
                <c:pt idx="59">
                  <c:v>1.39</c:v>
                </c:pt>
                <c:pt idx="60">
                  <c:v>1.0900000000000001</c:v>
                </c:pt>
                <c:pt idx="61">
                  <c:v>2.4300000000000002</c:v>
                </c:pt>
                <c:pt idx="62">
                  <c:v>0</c:v>
                </c:pt>
                <c:pt idx="63">
                  <c:v>0</c:v>
                </c:pt>
                <c:pt idx="64">
                  <c:v>1.71</c:v>
                </c:pt>
                <c:pt idx="65">
                  <c:v>0.73</c:v>
                </c:pt>
                <c:pt idx="66">
                  <c:v>1</c:v>
                </c:pt>
                <c:pt idx="67">
                  <c:v>1.07</c:v>
                </c:pt>
                <c:pt idx="68">
                  <c:v>1.08</c:v>
                </c:pt>
                <c:pt idx="69">
                  <c:v>2.27</c:v>
                </c:pt>
                <c:pt idx="70">
                  <c:v>1.8</c:v>
                </c:pt>
                <c:pt idx="71">
                  <c:v>1.47</c:v>
                </c:pt>
                <c:pt idx="72">
                  <c:v>1.27</c:v>
                </c:pt>
                <c:pt idx="73">
                  <c:v>2.57</c:v>
                </c:pt>
                <c:pt idx="74">
                  <c:v>0.67</c:v>
                </c:pt>
                <c:pt idx="75">
                  <c:v>1.67</c:v>
                </c:pt>
                <c:pt idx="76">
                  <c:v>0.83</c:v>
                </c:pt>
                <c:pt idx="77">
                  <c:v>0.63</c:v>
                </c:pt>
                <c:pt idx="78">
                  <c:v>0</c:v>
                </c:pt>
                <c:pt idx="79">
                  <c:v>0.93</c:v>
                </c:pt>
                <c:pt idx="80">
                  <c:v>1.75</c:v>
                </c:pt>
                <c:pt idx="81">
                  <c:v>1.55</c:v>
                </c:pt>
                <c:pt idx="82">
                  <c:v>0.67</c:v>
                </c:pt>
                <c:pt idx="83">
                  <c:v>0.67</c:v>
                </c:pt>
                <c:pt idx="84">
                  <c:v>0</c:v>
                </c:pt>
                <c:pt idx="85">
                  <c:v>1.73</c:v>
                </c:pt>
                <c:pt idx="86">
                  <c:v>0</c:v>
                </c:pt>
                <c:pt idx="87">
                  <c:v>1.7</c:v>
                </c:pt>
                <c:pt idx="88">
                  <c:v>1.54</c:v>
                </c:pt>
                <c:pt idx="89">
                  <c:v>1.76</c:v>
                </c:pt>
                <c:pt idx="90">
                  <c:v>1.58</c:v>
                </c:pt>
                <c:pt idx="91">
                  <c:v>0</c:v>
                </c:pt>
                <c:pt idx="92">
                  <c:v>1.72</c:v>
                </c:pt>
                <c:pt idx="93">
                  <c:v>1.83</c:v>
                </c:pt>
                <c:pt idx="94">
                  <c:v>1.64</c:v>
                </c:pt>
                <c:pt idx="95">
                  <c:v>1.1299999999999999</c:v>
                </c:pt>
                <c:pt idx="96">
                  <c:v>1.23</c:v>
                </c:pt>
                <c:pt idx="97">
                  <c:v>1.51</c:v>
                </c:pt>
                <c:pt idx="98">
                  <c:v>0</c:v>
                </c:pt>
                <c:pt idx="99">
                  <c:v>1.18</c:v>
                </c:pt>
                <c:pt idx="100">
                  <c:v>0</c:v>
                </c:pt>
                <c:pt idx="101">
                  <c:v>0.5</c:v>
                </c:pt>
                <c:pt idx="102">
                  <c:v>0.62</c:v>
                </c:pt>
                <c:pt idx="103">
                  <c:v>1.53</c:v>
                </c:pt>
                <c:pt idx="104">
                  <c:v>0.25</c:v>
                </c:pt>
                <c:pt idx="105">
                  <c:v>1.83</c:v>
                </c:pt>
                <c:pt idx="106">
                  <c:v>1.45</c:v>
                </c:pt>
                <c:pt idx="107">
                  <c:v>1.8</c:v>
                </c:pt>
                <c:pt idx="108">
                  <c:v>0.67</c:v>
                </c:pt>
                <c:pt idx="109">
                  <c:v>2</c:v>
                </c:pt>
              </c:numCache>
            </c:numRef>
          </c:xVal>
          <c:yVal>
            <c:numRef>
              <c:f>correlation_table!$D$2:$D$111</c:f>
              <c:numCache>
                <c:formatCode>General</c:formatCode>
                <c:ptCount val="110"/>
                <c:pt idx="0">
                  <c:v>76.92</c:v>
                </c:pt>
                <c:pt idx="1">
                  <c:v>80.260000000000005</c:v>
                </c:pt>
                <c:pt idx="2">
                  <c:v>100</c:v>
                </c:pt>
                <c:pt idx="3">
                  <c:v>81.13</c:v>
                </c:pt>
                <c:pt idx="4">
                  <c:v>73.53</c:v>
                </c:pt>
                <c:pt idx="5">
                  <c:v>75</c:v>
                </c:pt>
                <c:pt idx="6">
                  <c:v>0</c:v>
                </c:pt>
                <c:pt idx="7">
                  <c:v>100</c:v>
                </c:pt>
                <c:pt idx="8">
                  <c:v>67.92</c:v>
                </c:pt>
                <c:pt idx="9">
                  <c:v>100</c:v>
                </c:pt>
                <c:pt idx="10">
                  <c:v>72.73</c:v>
                </c:pt>
                <c:pt idx="11">
                  <c:v>79.22</c:v>
                </c:pt>
                <c:pt idx="12">
                  <c:v>100</c:v>
                </c:pt>
                <c:pt idx="13">
                  <c:v>76.19</c:v>
                </c:pt>
                <c:pt idx="14">
                  <c:v>93.75</c:v>
                </c:pt>
                <c:pt idx="15">
                  <c:v>77.42</c:v>
                </c:pt>
                <c:pt idx="16">
                  <c:v>75</c:v>
                </c:pt>
                <c:pt idx="17">
                  <c:v>82.61</c:v>
                </c:pt>
                <c:pt idx="18">
                  <c:v>76.92</c:v>
                </c:pt>
                <c:pt idx="19">
                  <c:v>71.430000000000007</c:v>
                </c:pt>
                <c:pt idx="20">
                  <c:v>85.33</c:v>
                </c:pt>
                <c:pt idx="21">
                  <c:v>80</c:v>
                </c:pt>
                <c:pt idx="22">
                  <c:v>83.33</c:v>
                </c:pt>
                <c:pt idx="23">
                  <c:v>88.89</c:v>
                </c:pt>
                <c:pt idx="24">
                  <c:v>57.58</c:v>
                </c:pt>
                <c:pt idx="25">
                  <c:v>90.91</c:v>
                </c:pt>
                <c:pt idx="26">
                  <c:v>86.67</c:v>
                </c:pt>
                <c:pt idx="27">
                  <c:v>68.75</c:v>
                </c:pt>
                <c:pt idx="28">
                  <c:v>74.760000000000005</c:v>
                </c:pt>
                <c:pt idx="29">
                  <c:v>63.64</c:v>
                </c:pt>
                <c:pt idx="30">
                  <c:v>83.33</c:v>
                </c:pt>
                <c:pt idx="31">
                  <c:v>83.33</c:v>
                </c:pt>
                <c:pt idx="32">
                  <c:v>76.06</c:v>
                </c:pt>
                <c:pt idx="33">
                  <c:v>75</c:v>
                </c:pt>
                <c:pt idx="34">
                  <c:v>91.67</c:v>
                </c:pt>
                <c:pt idx="35">
                  <c:v>61.11</c:v>
                </c:pt>
                <c:pt idx="36">
                  <c:v>71.05</c:v>
                </c:pt>
                <c:pt idx="37">
                  <c:v>66.67</c:v>
                </c:pt>
                <c:pt idx="38">
                  <c:v>64</c:v>
                </c:pt>
                <c:pt idx="39">
                  <c:v>77.78</c:v>
                </c:pt>
                <c:pt idx="40">
                  <c:v>63.83</c:v>
                </c:pt>
                <c:pt idx="41">
                  <c:v>50</c:v>
                </c:pt>
                <c:pt idx="42">
                  <c:v>100</c:v>
                </c:pt>
                <c:pt idx="43">
                  <c:v>82.35</c:v>
                </c:pt>
                <c:pt idx="44">
                  <c:v>100</c:v>
                </c:pt>
                <c:pt idx="45">
                  <c:v>76.06</c:v>
                </c:pt>
                <c:pt idx="46">
                  <c:v>79.41</c:v>
                </c:pt>
                <c:pt idx="47">
                  <c:v>88.89</c:v>
                </c:pt>
                <c:pt idx="48">
                  <c:v>63.64</c:v>
                </c:pt>
                <c:pt idx="49">
                  <c:v>80</c:v>
                </c:pt>
                <c:pt idx="50">
                  <c:v>85.71</c:v>
                </c:pt>
                <c:pt idx="51">
                  <c:v>85.71</c:v>
                </c:pt>
                <c:pt idx="52">
                  <c:v>0</c:v>
                </c:pt>
                <c:pt idx="53">
                  <c:v>81.25</c:v>
                </c:pt>
                <c:pt idx="54">
                  <c:v>79.55</c:v>
                </c:pt>
                <c:pt idx="55">
                  <c:v>87.5</c:v>
                </c:pt>
                <c:pt idx="56">
                  <c:v>90</c:v>
                </c:pt>
                <c:pt idx="57">
                  <c:v>82.61</c:v>
                </c:pt>
                <c:pt idx="58">
                  <c:v>69.11</c:v>
                </c:pt>
                <c:pt idx="59">
                  <c:v>77.94</c:v>
                </c:pt>
                <c:pt idx="60">
                  <c:v>80</c:v>
                </c:pt>
                <c:pt idx="61">
                  <c:v>76.790000000000006</c:v>
                </c:pt>
                <c:pt idx="62">
                  <c:v>0</c:v>
                </c:pt>
                <c:pt idx="63">
                  <c:v>0</c:v>
                </c:pt>
                <c:pt idx="64">
                  <c:v>80.56</c:v>
                </c:pt>
                <c:pt idx="65">
                  <c:v>95.45</c:v>
                </c:pt>
                <c:pt idx="66">
                  <c:v>100</c:v>
                </c:pt>
                <c:pt idx="67">
                  <c:v>73.33</c:v>
                </c:pt>
                <c:pt idx="68">
                  <c:v>76.92</c:v>
                </c:pt>
                <c:pt idx="69">
                  <c:v>80</c:v>
                </c:pt>
                <c:pt idx="70">
                  <c:v>44.44</c:v>
                </c:pt>
                <c:pt idx="71">
                  <c:v>72.73</c:v>
                </c:pt>
                <c:pt idx="72">
                  <c:v>92.86</c:v>
                </c:pt>
                <c:pt idx="73">
                  <c:v>100</c:v>
                </c:pt>
                <c:pt idx="74">
                  <c:v>100</c:v>
                </c:pt>
                <c:pt idx="75">
                  <c:v>100</c:v>
                </c:pt>
                <c:pt idx="76">
                  <c:v>40</c:v>
                </c:pt>
                <c:pt idx="77">
                  <c:v>91.67</c:v>
                </c:pt>
                <c:pt idx="78">
                  <c:v>0</c:v>
                </c:pt>
                <c:pt idx="79">
                  <c:v>84.62</c:v>
                </c:pt>
                <c:pt idx="80">
                  <c:v>71.430000000000007</c:v>
                </c:pt>
                <c:pt idx="81">
                  <c:v>75.61</c:v>
                </c:pt>
                <c:pt idx="82">
                  <c:v>75</c:v>
                </c:pt>
                <c:pt idx="83">
                  <c:v>0</c:v>
                </c:pt>
                <c:pt idx="84">
                  <c:v>0</c:v>
                </c:pt>
                <c:pt idx="85">
                  <c:v>77.78</c:v>
                </c:pt>
                <c:pt idx="86">
                  <c:v>0</c:v>
                </c:pt>
                <c:pt idx="87">
                  <c:v>70.59</c:v>
                </c:pt>
                <c:pt idx="88">
                  <c:v>77.5</c:v>
                </c:pt>
                <c:pt idx="89">
                  <c:v>75.95</c:v>
                </c:pt>
                <c:pt idx="90">
                  <c:v>68.42</c:v>
                </c:pt>
                <c:pt idx="91">
                  <c:v>0</c:v>
                </c:pt>
                <c:pt idx="92">
                  <c:v>74</c:v>
                </c:pt>
                <c:pt idx="93">
                  <c:v>90.91</c:v>
                </c:pt>
                <c:pt idx="94">
                  <c:v>88.89</c:v>
                </c:pt>
                <c:pt idx="95">
                  <c:v>71.11</c:v>
                </c:pt>
                <c:pt idx="96">
                  <c:v>68.48</c:v>
                </c:pt>
                <c:pt idx="97">
                  <c:v>71.430000000000007</c:v>
                </c:pt>
                <c:pt idx="98">
                  <c:v>0</c:v>
                </c:pt>
                <c:pt idx="99">
                  <c:v>87.34</c:v>
                </c:pt>
                <c:pt idx="100">
                  <c:v>0</c:v>
                </c:pt>
                <c:pt idx="101">
                  <c:v>66.67</c:v>
                </c:pt>
                <c:pt idx="102">
                  <c:v>87.5</c:v>
                </c:pt>
                <c:pt idx="103">
                  <c:v>81.94</c:v>
                </c:pt>
                <c:pt idx="104">
                  <c:v>100</c:v>
                </c:pt>
                <c:pt idx="105">
                  <c:v>81.819999999999993</c:v>
                </c:pt>
                <c:pt idx="106">
                  <c:v>93.1</c:v>
                </c:pt>
                <c:pt idx="107">
                  <c:v>88.89</c:v>
                </c:pt>
                <c:pt idx="108">
                  <c:v>0</c:v>
                </c:pt>
                <c:pt idx="109">
                  <c:v>66.67</c:v>
                </c:pt>
              </c:numCache>
            </c:numRef>
          </c:yVal>
          <c:smooth val="0"/>
          <c:extLst>
            <c:ext xmlns:c16="http://schemas.microsoft.com/office/drawing/2014/chart" uri="{C3380CC4-5D6E-409C-BE32-E72D297353CC}">
              <c16:uniqueId val="{00000000-ED92-490E-AFC6-FE73C9712A76}"/>
            </c:ext>
          </c:extLst>
        </c:ser>
        <c:dLbls>
          <c:showLegendKey val="0"/>
          <c:showVal val="0"/>
          <c:showCatName val="0"/>
          <c:showSerName val="0"/>
          <c:showPercent val="0"/>
          <c:showBubbleSize val="0"/>
        </c:dLbls>
        <c:axId val="807726352"/>
        <c:axId val="807731632"/>
      </c:scatterChart>
      <c:valAx>
        <c:axId val="8077263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KDR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31632"/>
        <c:crosses val="autoZero"/>
        <c:crossBetween val="midCat"/>
      </c:valAx>
      <c:valAx>
        <c:axId val="807731632"/>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26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Sessions Duration vs Kills per Min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correlation_table!$N$1</c:f>
              <c:strCache>
                <c:ptCount val="1"/>
                <c:pt idx="0">
                  <c:v>Evening_kills_per_min</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correlation_table!$N$2:$N$111</c:f>
              <c:numCache>
                <c:formatCode>General</c:formatCode>
                <c:ptCount val="110"/>
                <c:pt idx="0">
                  <c:v>0.98</c:v>
                </c:pt>
                <c:pt idx="1">
                  <c:v>-1</c:v>
                </c:pt>
                <c:pt idx="2">
                  <c:v>-1</c:v>
                </c:pt>
                <c:pt idx="3">
                  <c:v>-1</c:v>
                </c:pt>
                <c:pt idx="4">
                  <c:v>-1</c:v>
                </c:pt>
                <c:pt idx="5">
                  <c:v>1.38</c:v>
                </c:pt>
                <c:pt idx="6">
                  <c:v>0</c:v>
                </c:pt>
                <c:pt idx="7">
                  <c:v>0.4</c:v>
                </c:pt>
                <c:pt idx="8">
                  <c:v>1.1100000000000001</c:v>
                </c:pt>
                <c:pt idx="9">
                  <c:v>0.66</c:v>
                </c:pt>
                <c:pt idx="10">
                  <c:v>-1</c:v>
                </c:pt>
                <c:pt idx="11">
                  <c:v>1.25</c:v>
                </c:pt>
                <c:pt idx="12">
                  <c:v>-1</c:v>
                </c:pt>
                <c:pt idx="13">
                  <c:v>1.41</c:v>
                </c:pt>
                <c:pt idx="14">
                  <c:v>-1</c:v>
                </c:pt>
                <c:pt idx="15">
                  <c:v>1.1399999999999999</c:v>
                </c:pt>
                <c:pt idx="16">
                  <c:v>1.01</c:v>
                </c:pt>
                <c:pt idx="17">
                  <c:v>-1</c:v>
                </c:pt>
                <c:pt idx="18">
                  <c:v>1.46</c:v>
                </c:pt>
                <c:pt idx="19">
                  <c:v>1.38</c:v>
                </c:pt>
                <c:pt idx="20">
                  <c:v>1.1200000000000001</c:v>
                </c:pt>
                <c:pt idx="21">
                  <c:v>1.1200000000000001</c:v>
                </c:pt>
                <c:pt idx="22">
                  <c:v>1.89</c:v>
                </c:pt>
                <c:pt idx="23">
                  <c:v>-1</c:v>
                </c:pt>
                <c:pt idx="24">
                  <c:v>1.07</c:v>
                </c:pt>
                <c:pt idx="25">
                  <c:v>-1</c:v>
                </c:pt>
                <c:pt idx="26">
                  <c:v>-1</c:v>
                </c:pt>
                <c:pt idx="27">
                  <c:v>-1</c:v>
                </c:pt>
                <c:pt idx="28">
                  <c:v>1.49</c:v>
                </c:pt>
                <c:pt idx="29">
                  <c:v>0.7</c:v>
                </c:pt>
                <c:pt idx="30">
                  <c:v>0.41</c:v>
                </c:pt>
                <c:pt idx="31">
                  <c:v>0.94</c:v>
                </c:pt>
                <c:pt idx="32">
                  <c:v>-1</c:v>
                </c:pt>
                <c:pt idx="33">
                  <c:v>1.1100000000000001</c:v>
                </c:pt>
                <c:pt idx="34">
                  <c:v>-1</c:v>
                </c:pt>
                <c:pt idx="35">
                  <c:v>1.08</c:v>
                </c:pt>
                <c:pt idx="36">
                  <c:v>1.1100000000000001</c:v>
                </c:pt>
                <c:pt idx="37">
                  <c:v>-1</c:v>
                </c:pt>
                <c:pt idx="38">
                  <c:v>1.22</c:v>
                </c:pt>
                <c:pt idx="39">
                  <c:v>-1</c:v>
                </c:pt>
                <c:pt idx="40">
                  <c:v>-1</c:v>
                </c:pt>
                <c:pt idx="41">
                  <c:v>-1</c:v>
                </c:pt>
                <c:pt idx="42">
                  <c:v>-1</c:v>
                </c:pt>
                <c:pt idx="43">
                  <c:v>1.04</c:v>
                </c:pt>
                <c:pt idx="44">
                  <c:v>-1</c:v>
                </c:pt>
                <c:pt idx="45">
                  <c:v>-1</c:v>
                </c:pt>
                <c:pt idx="46">
                  <c:v>1.23</c:v>
                </c:pt>
                <c:pt idx="47">
                  <c:v>2.6</c:v>
                </c:pt>
                <c:pt idx="48">
                  <c:v>0.93</c:v>
                </c:pt>
                <c:pt idx="49">
                  <c:v>-1</c:v>
                </c:pt>
                <c:pt idx="50">
                  <c:v>-1</c:v>
                </c:pt>
                <c:pt idx="51">
                  <c:v>1.24</c:v>
                </c:pt>
                <c:pt idx="52">
                  <c:v>0</c:v>
                </c:pt>
                <c:pt idx="53">
                  <c:v>1.1499999999999999</c:v>
                </c:pt>
                <c:pt idx="54">
                  <c:v>1.18</c:v>
                </c:pt>
                <c:pt idx="55">
                  <c:v>1.05</c:v>
                </c:pt>
                <c:pt idx="56">
                  <c:v>0.71</c:v>
                </c:pt>
                <c:pt idx="57">
                  <c:v>0.99</c:v>
                </c:pt>
                <c:pt idx="58">
                  <c:v>-1</c:v>
                </c:pt>
                <c:pt idx="59">
                  <c:v>1.18</c:v>
                </c:pt>
                <c:pt idx="60">
                  <c:v>0.93</c:v>
                </c:pt>
                <c:pt idx="61">
                  <c:v>1.62</c:v>
                </c:pt>
                <c:pt idx="62">
                  <c:v>-1</c:v>
                </c:pt>
                <c:pt idx="63">
                  <c:v>0</c:v>
                </c:pt>
                <c:pt idx="64">
                  <c:v>1.1499999999999999</c:v>
                </c:pt>
                <c:pt idx="65">
                  <c:v>0.84</c:v>
                </c:pt>
                <c:pt idx="66">
                  <c:v>0.53</c:v>
                </c:pt>
                <c:pt idx="67">
                  <c:v>0.85</c:v>
                </c:pt>
                <c:pt idx="68">
                  <c:v>1.32</c:v>
                </c:pt>
                <c:pt idx="69">
                  <c:v>1.33</c:v>
                </c:pt>
                <c:pt idx="70">
                  <c:v>1.01</c:v>
                </c:pt>
                <c:pt idx="71">
                  <c:v>-1</c:v>
                </c:pt>
                <c:pt idx="72">
                  <c:v>0.8</c:v>
                </c:pt>
                <c:pt idx="73">
                  <c:v>1.68</c:v>
                </c:pt>
                <c:pt idx="74">
                  <c:v>0.69</c:v>
                </c:pt>
                <c:pt idx="75">
                  <c:v>-1</c:v>
                </c:pt>
                <c:pt idx="76">
                  <c:v>0.76</c:v>
                </c:pt>
                <c:pt idx="77">
                  <c:v>0.66</c:v>
                </c:pt>
                <c:pt idx="78">
                  <c:v>0</c:v>
                </c:pt>
                <c:pt idx="79">
                  <c:v>0.91</c:v>
                </c:pt>
                <c:pt idx="80">
                  <c:v>1.24</c:v>
                </c:pt>
                <c:pt idx="81">
                  <c:v>-1</c:v>
                </c:pt>
                <c:pt idx="82">
                  <c:v>0.66</c:v>
                </c:pt>
                <c:pt idx="83">
                  <c:v>1.67</c:v>
                </c:pt>
                <c:pt idx="84">
                  <c:v>0</c:v>
                </c:pt>
                <c:pt idx="85">
                  <c:v>1.34</c:v>
                </c:pt>
                <c:pt idx="86">
                  <c:v>0</c:v>
                </c:pt>
                <c:pt idx="87">
                  <c:v>1.08</c:v>
                </c:pt>
                <c:pt idx="88">
                  <c:v>1.08</c:v>
                </c:pt>
                <c:pt idx="89">
                  <c:v>1.22</c:v>
                </c:pt>
                <c:pt idx="90">
                  <c:v>1.1399999999999999</c:v>
                </c:pt>
                <c:pt idx="91">
                  <c:v>0</c:v>
                </c:pt>
                <c:pt idx="92">
                  <c:v>1.41</c:v>
                </c:pt>
                <c:pt idx="93">
                  <c:v>1.47</c:v>
                </c:pt>
                <c:pt idx="94">
                  <c:v>1.06</c:v>
                </c:pt>
                <c:pt idx="95">
                  <c:v>0.91</c:v>
                </c:pt>
                <c:pt idx="96">
                  <c:v>1.1299999999999999</c:v>
                </c:pt>
                <c:pt idx="97">
                  <c:v>1.1499999999999999</c:v>
                </c:pt>
                <c:pt idx="98">
                  <c:v>0</c:v>
                </c:pt>
                <c:pt idx="99">
                  <c:v>1.04</c:v>
                </c:pt>
                <c:pt idx="100">
                  <c:v>0</c:v>
                </c:pt>
                <c:pt idx="101">
                  <c:v>-1</c:v>
                </c:pt>
                <c:pt idx="102">
                  <c:v>0.51</c:v>
                </c:pt>
                <c:pt idx="103">
                  <c:v>1.2</c:v>
                </c:pt>
                <c:pt idx="104">
                  <c:v>0.17</c:v>
                </c:pt>
                <c:pt idx="105">
                  <c:v>1.24</c:v>
                </c:pt>
                <c:pt idx="106">
                  <c:v>1.22</c:v>
                </c:pt>
                <c:pt idx="107">
                  <c:v>1.21</c:v>
                </c:pt>
                <c:pt idx="108">
                  <c:v>0.66</c:v>
                </c:pt>
                <c:pt idx="109">
                  <c:v>1.69</c:v>
                </c:pt>
              </c:numCache>
            </c:numRef>
          </c:yVal>
          <c:smooth val="0"/>
          <c:extLst>
            <c:ext xmlns:c16="http://schemas.microsoft.com/office/drawing/2014/chart" uri="{C3380CC4-5D6E-409C-BE32-E72D297353CC}">
              <c16:uniqueId val="{00000000-A52E-4B7A-8D44-56FC228B9DF8}"/>
            </c:ext>
          </c:extLst>
        </c:ser>
        <c:ser>
          <c:idx val="1"/>
          <c:order val="1"/>
          <c:tx>
            <c:strRef>
              <c:f>correlation_table!$O$1</c:f>
              <c:strCache>
                <c:ptCount val="1"/>
                <c:pt idx="0">
                  <c:v>Night_kills_per_min</c:v>
                </c:pt>
              </c:strCache>
            </c:strRef>
          </c:tx>
          <c:spPr>
            <a:ln w="38100" cap="rnd">
              <a:noFill/>
              <a:round/>
            </a:ln>
            <a:effectLst/>
          </c:spPr>
          <c:marker>
            <c:symbol val="circle"/>
            <c:size val="5"/>
            <c:spPr>
              <a:solidFill>
                <a:schemeClr val="accent2"/>
              </a:solidFill>
              <a:ln w="9525">
                <a:solidFill>
                  <a:schemeClr val="accent2"/>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correlation_table!$O$2:$O$111</c:f>
              <c:numCache>
                <c:formatCode>General</c:formatCode>
                <c:ptCount val="110"/>
                <c:pt idx="0">
                  <c:v>-1</c:v>
                </c:pt>
                <c:pt idx="1">
                  <c:v>1.44</c:v>
                </c:pt>
                <c:pt idx="2">
                  <c:v>-1</c:v>
                </c:pt>
                <c:pt idx="3">
                  <c:v>-1</c:v>
                </c:pt>
                <c:pt idx="4">
                  <c:v>-1</c:v>
                </c:pt>
                <c:pt idx="5">
                  <c:v>-1</c:v>
                </c:pt>
                <c:pt idx="6">
                  <c:v>-1</c:v>
                </c:pt>
                <c:pt idx="7">
                  <c:v>-1</c:v>
                </c:pt>
                <c:pt idx="8">
                  <c:v>-1</c:v>
                </c:pt>
                <c:pt idx="9">
                  <c:v>-1</c:v>
                </c:pt>
                <c:pt idx="10">
                  <c:v>-1</c:v>
                </c:pt>
                <c:pt idx="11">
                  <c:v>-1</c:v>
                </c:pt>
                <c:pt idx="12">
                  <c:v>0.95</c:v>
                </c:pt>
                <c:pt idx="13">
                  <c:v>-1</c:v>
                </c:pt>
                <c:pt idx="14">
                  <c:v>-1</c:v>
                </c:pt>
                <c:pt idx="15">
                  <c:v>-1</c:v>
                </c:pt>
                <c:pt idx="16">
                  <c:v>-1</c:v>
                </c:pt>
                <c:pt idx="17">
                  <c:v>-1</c:v>
                </c:pt>
                <c:pt idx="18">
                  <c:v>-1</c:v>
                </c:pt>
                <c:pt idx="19">
                  <c:v>-1</c:v>
                </c:pt>
                <c:pt idx="20">
                  <c:v>-1</c:v>
                </c:pt>
                <c:pt idx="21">
                  <c:v>-1</c:v>
                </c:pt>
                <c:pt idx="22">
                  <c:v>-1</c:v>
                </c:pt>
                <c:pt idx="23">
                  <c:v>-1</c:v>
                </c:pt>
                <c:pt idx="24">
                  <c:v>-1</c:v>
                </c:pt>
                <c:pt idx="25">
                  <c:v>1.36</c:v>
                </c:pt>
                <c:pt idx="26">
                  <c:v>1.1499999999999999</c:v>
                </c:pt>
                <c:pt idx="27">
                  <c:v>0.65</c:v>
                </c:pt>
                <c:pt idx="28">
                  <c:v>-1</c:v>
                </c:pt>
                <c:pt idx="29">
                  <c:v>-1</c:v>
                </c:pt>
                <c:pt idx="30">
                  <c:v>-1</c:v>
                </c:pt>
                <c:pt idx="31">
                  <c:v>-1</c:v>
                </c:pt>
                <c:pt idx="32">
                  <c:v>1.41</c:v>
                </c:pt>
                <c:pt idx="33">
                  <c:v>-1</c:v>
                </c:pt>
                <c:pt idx="34">
                  <c:v>1.7</c:v>
                </c:pt>
                <c:pt idx="35">
                  <c:v>-1</c:v>
                </c:pt>
                <c:pt idx="36">
                  <c:v>-1</c:v>
                </c:pt>
                <c:pt idx="37">
                  <c:v>0.83</c:v>
                </c:pt>
                <c:pt idx="38">
                  <c:v>-1</c:v>
                </c:pt>
                <c:pt idx="39">
                  <c:v>1.22</c:v>
                </c:pt>
                <c:pt idx="40">
                  <c:v>1.25</c:v>
                </c:pt>
                <c:pt idx="41">
                  <c:v>0.83</c:v>
                </c:pt>
                <c:pt idx="42">
                  <c:v>-1</c:v>
                </c:pt>
                <c:pt idx="43">
                  <c:v>-1</c:v>
                </c:pt>
                <c:pt idx="44">
                  <c:v>1.2</c:v>
                </c:pt>
                <c:pt idx="45">
                  <c:v>-1</c:v>
                </c:pt>
                <c:pt idx="46">
                  <c:v>-1</c:v>
                </c:pt>
                <c:pt idx="47">
                  <c:v>-1</c:v>
                </c:pt>
                <c:pt idx="48">
                  <c:v>-1</c:v>
                </c:pt>
                <c:pt idx="49">
                  <c:v>0.75</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1.25</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1-A52E-4B7A-8D44-56FC228B9DF8}"/>
            </c:ext>
          </c:extLst>
        </c:ser>
        <c:ser>
          <c:idx val="2"/>
          <c:order val="2"/>
          <c:tx>
            <c:strRef>
              <c:f>correlation_table!$P$1</c:f>
              <c:strCache>
                <c:ptCount val="1"/>
                <c:pt idx="0">
                  <c:v>Morning_kills_per_min</c:v>
                </c:pt>
              </c:strCache>
            </c:strRef>
          </c:tx>
          <c:spPr>
            <a:ln w="38100" cap="rnd">
              <a:noFill/>
              <a:round/>
            </a:ln>
            <a:effectLst/>
          </c:spPr>
          <c:marker>
            <c:symbol val="circle"/>
            <c:size val="5"/>
            <c:spPr>
              <a:solidFill>
                <a:schemeClr val="accent3"/>
              </a:solidFill>
              <a:ln w="9525">
                <a:solidFill>
                  <a:schemeClr val="accent3"/>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correlation_table!$P$2:$P$111</c:f>
              <c:numCache>
                <c:formatCode>General</c:formatCode>
                <c:ptCount val="110"/>
                <c:pt idx="0">
                  <c:v>-1</c:v>
                </c:pt>
                <c:pt idx="1">
                  <c:v>-1</c:v>
                </c:pt>
                <c:pt idx="2">
                  <c:v>0.66</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0.66</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2-A52E-4B7A-8D44-56FC228B9DF8}"/>
            </c:ext>
          </c:extLst>
        </c:ser>
        <c:ser>
          <c:idx val="3"/>
          <c:order val="3"/>
          <c:tx>
            <c:strRef>
              <c:f>correlation_table!$Q$1</c:f>
              <c:strCache>
                <c:ptCount val="1"/>
                <c:pt idx="0">
                  <c:v>Afternoon_kills_per_min</c:v>
                </c:pt>
              </c:strCache>
            </c:strRef>
          </c:tx>
          <c:spPr>
            <a:ln w="38100" cap="rnd">
              <a:noFill/>
              <a:round/>
            </a:ln>
            <a:effectLst/>
          </c:spPr>
          <c:marker>
            <c:symbol val="circle"/>
            <c:size val="5"/>
            <c:spPr>
              <a:solidFill>
                <a:schemeClr val="accent4"/>
              </a:solidFill>
              <a:ln w="9525">
                <a:solidFill>
                  <a:schemeClr val="accent4"/>
                </a:solidFill>
              </a:ln>
              <a:effectLst/>
            </c:spPr>
          </c:marker>
          <c:xVal>
            <c:numRef>
              <c:f>correlation_table!$B$2:$B$111</c:f>
              <c:numCache>
                <c:formatCode>General</c:formatCode>
                <c:ptCount val="110"/>
                <c:pt idx="0">
                  <c:v>26.483333333333334</c:v>
                </c:pt>
                <c:pt idx="1">
                  <c:v>52.7</c:v>
                </c:pt>
                <c:pt idx="2">
                  <c:v>3.0166666666666666</c:v>
                </c:pt>
                <c:pt idx="3">
                  <c:v>37.049999999999997</c:v>
                </c:pt>
                <c:pt idx="4">
                  <c:v>36.133333333333333</c:v>
                </c:pt>
                <c:pt idx="5">
                  <c:v>57.766666666666666</c:v>
                </c:pt>
                <c:pt idx="6">
                  <c:v>3.65</c:v>
                </c:pt>
                <c:pt idx="7">
                  <c:v>4.9833333333333334</c:v>
                </c:pt>
                <c:pt idx="8">
                  <c:v>47.866666666666667</c:v>
                </c:pt>
                <c:pt idx="9">
                  <c:v>3.0333333333333332</c:v>
                </c:pt>
                <c:pt idx="10">
                  <c:v>18.399999999999999</c:v>
                </c:pt>
                <c:pt idx="11">
                  <c:v>61.7</c:v>
                </c:pt>
                <c:pt idx="12">
                  <c:v>6.3</c:v>
                </c:pt>
                <c:pt idx="13">
                  <c:v>29.8</c:v>
                </c:pt>
                <c:pt idx="14">
                  <c:v>15.666666666666666</c:v>
                </c:pt>
                <c:pt idx="15">
                  <c:v>27.216666666666665</c:v>
                </c:pt>
                <c:pt idx="16">
                  <c:v>7.95</c:v>
                </c:pt>
                <c:pt idx="17">
                  <c:v>30.15</c:v>
                </c:pt>
                <c:pt idx="18">
                  <c:v>8.9</c:v>
                </c:pt>
                <c:pt idx="19">
                  <c:v>50.833333333333329</c:v>
                </c:pt>
                <c:pt idx="20">
                  <c:v>67.016666666666666</c:v>
                </c:pt>
                <c:pt idx="21">
                  <c:v>31.383333333333336</c:v>
                </c:pt>
                <c:pt idx="22">
                  <c:v>9.5166666666666675</c:v>
                </c:pt>
                <c:pt idx="23">
                  <c:v>14.283333333333333</c:v>
                </c:pt>
                <c:pt idx="24">
                  <c:v>30.716666666666665</c:v>
                </c:pt>
                <c:pt idx="25">
                  <c:v>16.133333333333333</c:v>
                </c:pt>
                <c:pt idx="26">
                  <c:v>13.033333333333333</c:v>
                </c:pt>
                <c:pt idx="27">
                  <c:v>24.433333333333334</c:v>
                </c:pt>
                <c:pt idx="28">
                  <c:v>69.066666666666663</c:v>
                </c:pt>
                <c:pt idx="29">
                  <c:v>15.616666666666667</c:v>
                </c:pt>
                <c:pt idx="30">
                  <c:v>14.466666666666669</c:v>
                </c:pt>
                <c:pt idx="31">
                  <c:v>6.416666666666667</c:v>
                </c:pt>
                <c:pt idx="32">
                  <c:v>50.516666666666666</c:v>
                </c:pt>
                <c:pt idx="33">
                  <c:v>75.916666666666671</c:v>
                </c:pt>
                <c:pt idx="34">
                  <c:v>14.1</c:v>
                </c:pt>
                <c:pt idx="35">
                  <c:v>33.31666666666667</c:v>
                </c:pt>
                <c:pt idx="36">
                  <c:v>34.15</c:v>
                </c:pt>
                <c:pt idx="37">
                  <c:v>10.833333333333334</c:v>
                </c:pt>
                <c:pt idx="38">
                  <c:v>20.5</c:v>
                </c:pt>
                <c:pt idx="39">
                  <c:v>7.4</c:v>
                </c:pt>
                <c:pt idx="40">
                  <c:v>37.716666666666669</c:v>
                </c:pt>
                <c:pt idx="41">
                  <c:v>9.6333333333333329</c:v>
                </c:pt>
                <c:pt idx="42">
                  <c:v>6.0166666666666666</c:v>
                </c:pt>
                <c:pt idx="43">
                  <c:v>16.3</c:v>
                </c:pt>
                <c:pt idx="44">
                  <c:v>1.6666666666666667</c:v>
                </c:pt>
                <c:pt idx="45">
                  <c:v>41.716666666666669</c:v>
                </c:pt>
                <c:pt idx="46">
                  <c:v>27.65</c:v>
                </c:pt>
                <c:pt idx="47">
                  <c:v>3.4666666666666668</c:v>
                </c:pt>
                <c:pt idx="48">
                  <c:v>11.783333333333333</c:v>
                </c:pt>
                <c:pt idx="49">
                  <c:v>6.6333333333333337</c:v>
                </c:pt>
                <c:pt idx="50">
                  <c:v>23.433333333333334</c:v>
                </c:pt>
                <c:pt idx="51">
                  <c:v>5.6333333333333337</c:v>
                </c:pt>
                <c:pt idx="52">
                  <c:v>2.2833333333333332</c:v>
                </c:pt>
                <c:pt idx="53">
                  <c:v>13.9</c:v>
                </c:pt>
                <c:pt idx="54">
                  <c:v>37.283333333333331</c:v>
                </c:pt>
                <c:pt idx="55">
                  <c:v>15.2</c:v>
                </c:pt>
                <c:pt idx="56">
                  <c:v>14.133333333333333</c:v>
                </c:pt>
                <c:pt idx="57">
                  <c:v>46.3</c:v>
                </c:pt>
                <c:pt idx="58">
                  <c:v>84.45</c:v>
                </c:pt>
                <c:pt idx="59">
                  <c:v>57.533333333333331</c:v>
                </c:pt>
                <c:pt idx="60">
                  <c:v>26.883333333333333</c:v>
                </c:pt>
                <c:pt idx="61">
                  <c:v>34.599999999999994</c:v>
                </c:pt>
                <c:pt idx="62">
                  <c:v>2.2000000000000002</c:v>
                </c:pt>
                <c:pt idx="63">
                  <c:v>1.8166666666666667</c:v>
                </c:pt>
                <c:pt idx="64">
                  <c:v>31.233333333333334</c:v>
                </c:pt>
                <c:pt idx="65">
                  <c:v>26.283333333333331</c:v>
                </c:pt>
                <c:pt idx="66">
                  <c:v>9.4666666666666668</c:v>
                </c:pt>
                <c:pt idx="67">
                  <c:v>17.633333333333333</c:v>
                </c:pt>
                <c:pt idx="68">
                  <c:v>9.8666666666666671</c:v>
                </c:pt>
                <c:pt idx="69">
                  <c:v>18.733333333333334</c:v>
                </c:pt>
                <c:pt idx="70">
                  <c:v>8.9499999999999993</c:v>
                </c:pt>
                <c:pt idx="71">
                  <c:v>17.566666666666666</c:v>
                </c:pt>
                <c:pt idx="72">
                  <c:v>17.566666666666666</c:v>
                </c:pt>
                <c:pt idx="73">
                  <c:v>10.716666666666667</c:v>
                </c:pt>
                <c:pt idx="74">
                  <c:v>2.9</c:v>
                </c:pt>
                <c:pt idx="75">
                  <c:v>4.4000000000000004</c:v>
                </c:pt>
                <c:pt idx="76">
                  <c:v>6.5666666666666664</c:v>
                </c:pt>
                <c:pt idx="77">
                  <c:v>18.083333333333332</c:v>
                </c:pt>
                <c:pt idx="78">
                  <c:v>2</c:v>
                </c:pt>
                <c:pt idx="79">
                  <c:v>14.283333333333333</c:v>
                </c:pt>
                <c:pt idx="80">
                  <c:v>11.333333333333334</c:v>
                </c:pt>
                <c:pt idx="81">
                  <c:v>69.766666666666666</c:v>
                </c:pt>
                <c:pt idx="82">
                  <c:v>12.166666666666666</c:v>
                </c:pt>
                <c:pt idx="83">
                  <c:v>1.2</c:v>
                </c:pt>
                <c:pt idx="84">
                  <c:v>1.8166666666666667</c:v>
                </c:pt>
                <c:pt idx="85">
                  <c:v>67.283333333333331</c:v>
                </c:pt>
                <c:pt idx="86">
                  <c:v>2.2666666666666666</c:v>
                </c:pt>
                <c:pt idx="87">
                  <c:v>15.766666666666667</c:v>
                </c:pt>
                <c:pt idx="88">
                  <c:v>37.133333333333333</c:v>
                </c:pt>
                <c:pt idx="89">
                  <c:v>64.816666666666663</c:v>
                </c:pt>
                <c:pt idx="90">
                  <c:v>16.633333333333333</c:v>
                </c:pt>
                <c:pt idx="91">
                  <c:v>4.9333333333333336</c:v>
                </c:pt>
                <c:pt idx="92">
                  <c:v>35.450000000000003</c:v>
                </c:pt>
                <c:pt idx="93">
                  <c:v>7.5</c:v>
                </c:pt>
                <c:pt idx="94">
                  <c:v>16.933333333333334</c:v>
                </c:pt>
                <c:pt idx="95">
                  <c:v>49.216666666666669</c:v>
                </c:pt>
                <c:pt idx="96">
                  <c:v>81.23333333333332</c:v>
                </c:pt>
                <c:pt idx="97">
                  <c:v>48.883333333333333</c:v>
                </c:pt>
                <c:pt idx="98">
                  <c:v>2.2999999999999998</c:v>
                </c:pt>
                <c:pt idx="99">
                  <c:v>75.816666666666663</c:v>
                </c:pt>
                <c:pt idx="100">
                  <c:v>1.2</c:v>
                </c:pt>
                <c:pt idx="101">
                  <c:v>4.9833333333333334</c:v>
                </c:pt>
                <c:pt idx="102">
                  <c:v>15.633333333333333</c:v>
                </c:pt>
                <c:pt idx="103">
                  <c:v>59.95</c:v>
                </c:pt>
                <c:pt idx="104">
                  <c:v>5.8</c:v>
                </c:pt>
                <c:pt idx="105">
                  <c:v>8.85</c:v>
                </c:pt>
                <c:pt idx="106">
                  <c:v>23.85</c:v>
                </c:pt>
                <c:pt idx="107">
                  <c:v>14.833333333333334</c:v>
                </c:pt>
                <c:pt idx="108">
                  <c:v>3.0166666666666666</c:v>
                </c:pt>
                <c:pt idx="109">
                  <c:v>7.083333333333333</c:v>
                </c:pt>
              </c:numCache>
            </c:numRef>
          </c:xVal>
          <c:yVal>
            <c:numRef>
              <c:f>correlation_table!$Q$2:$Q$111</c:f>
              <c:numCache>
                <c:formatCode>General</c:formatCode>
                <c:ptCount val="110"/>
                <c:pt idx="0">
                  <c:v>-1</c:v>
                </c:pt>
                <c:pt idx="1">
                  <c:v>-1</c:v>
                </c:pt>
                <c:pt idx="2">
                  <c:v>-1</c:v>
                </c:pt>
                <c:pt idx="3">
                  <c:v>1.43</c:v>
                </c:pt>
                <c:pt idx="4">
                  <c:v>0.94</c:v>
                </c:pt>
                <c:pt idx="5">
                  <c:v>-1</c:v>
                </c:pt>
                <c:pt idx="6">
                  <c:v>-1</c:v>
                </c:pt>
                <c:pt idx="7">
                  <c:v>-1</c:v>
                </c:pt>
                <c:pt idx="8">
                  <c:v>-1</c:v>
                </c:pt>
                <c:pt idx="9">
                  <c:v>-1</c:v>
                </c:pt>
                <c:pt idx="10">
                  <c:v>1.2</c:v>
                </c:pt>
                <c:pt idx="11">
                  <c:v>-1</c:v>
                </c:pt>
                <c:pt idx="12">
                  <c:v>-1</c:v>
                </c:pt>
                <c:pt idx="13">
                  <c:v>-1</c:v>
                </c:pt>
                <c:pt idx="14">
                  <c:v>1.02</c:v>
                </c:pt>
                <c:pt idx="15">
                  <c:v>-1</c:v>
                </c:pt>
                <c:pt idx="16">
                  <c:v>-1</c:v>
                </c:pt>
                <c:pt idx="17">
                  <c:v>1.53</c:v>
                </c:pt>
                <c:pt idx="18">
                  <c:v>-1</c:v>
                </c:pt>
                <c:pt idx="19">
                  <c:v>-1</c:v>
                </c:pt>
                <c:pt idx="20">
                  <c:v>-1</c:v>
                </c:pt>
                <c:pt idx="21">
                  <c:v>-1</c:v>
                </c:pt>
                <c:pt idx="22">
                  <c:v>-1</c:v>
                </c:pt>
                <c:pt idx="23">
                  <c:v>1.26</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1.7</c:v>
                </c:pt>
                <c:pt idx="46">
                  <c:v>-1</c:v>
                </c:pt>
                <c:pt idx="47">
                  <c:v>-1</c:v>
                </c:pt>
                <c:pt idx="48">
                  <c:v>-1</c:v>
                </c:pt>
                <c:pt idx="49">
                  <c:v>-1</c:v>
                </c:pt>
                <c:pt idx="50">
                  <c:v>1.19</c:v>
                </c:pt>
                <c:pt idx="51">
                  <c:v>-1</c:v>
                </c:pt>
                <c:pt idx="52">
                  <c:v>-1</c:v>
                </c:pt>
                <c:pt idx="53">
                  <c:v>-1</c:v>
                </c:pt>
                <c:pt idx="54">
                  <c:v>-1</c:v>
                </c:pt>
                <c:pt idx="55">
                  <c:v>-1</c:v>
                </c:pt>
                <c:pt idx="56">
                  <c:v>-1</c:v>
                </c:pt>
                <c:pt idx="57">
                  <c:v>-1</c:v>
                </c:pt>
                <c:pt idx="58">
                  <c:v>1.46</c:v>
                </c:pt>
                <c:pt idx="59">
                  <c:v>-1</c:v>
                </c:pt>
                <c:pt idx="60">
                  <c:v>-1</c:v>
                </c:pt>
                <c:pt idx="61">
                  <c:v>-1</c:v>
                </c:pt>
                <c:pt idx="62">
                  <c:v>0</c:v>
                </c:pt>
                <c:pt idx="63">
                  <c:v>-1</c:v>
                </c:pt>
                <c:pt idx="64">
                  <c:v>-1</c:v>
                </c:pt>
                <c:pt idx="65">
                  <c:v>-1</c:v>
                </c:pt>
                <c:pt idx="66">
                  <c:v>-1</c:v>
                </c:pt>
                <c:pt idx="67">
                  <c:v>-1</c:v>
                </c:pt>
                <c:pt idx="68">
                  <c:v>-1</c:v>
                </c:pt>
                <c:pt idx="69">
                  <c:v>-1</c:v>
                </c:pt>
                <c:pt idx="70">
                  <c:v>-1</c:v>
                </c:pt>
                <c:pt idx="71">
                  <c:v>-1</c:v>
                </c:pt>
                <c:pt idx="72">
                  <c:v>-1</c:v>
                </c:pt>
                <c:pt idx="73">
                  <c:v>-1</c:v>
                </c:pt>
                <c:pt idx="74">
                  <c:v>-1</c:v>
                </c:pt>
                <c:pt idx="75">
                  <c:v>1.1399999999999999</c:v>
                </c:pt>
                <c:pt idx="76">
                  <c:v>-1</c:v>
                </c:pt>
                <c:pt idx="77">
                  <c:v>-1</c:v>
                </c:pt>
                <c:pt idx="78">
                  <c:v>-1</c:v>
                </c:pt>
                <c:pt idx="79">
                  <c:v>-1</c:v>
                </c:pt>
                <c:pt idx="80">
                  <c:v>-1</c:v>
                </c:pt>
                <c:pt idx="81">
                  <c:v>1.18</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0.6</c:v>
                </c:pt>
                <c:pt idx="102">
                  <c:v>-1</c:v>
                </c:pt>
                <c:pt idx="103">
                  <c:v>-1</c:v>
                </c:pt>
                <c:pt idx="104">
                  <c:v>-1</c:v>
                </c:pt>
                <c:pt idx="105">
                  <c:v>-1</c:v>
                </c:pt>
                <c:pt idx="106">
                  <c:v>-1</c:v>
                </c:pt>
                <c:pt idx="107">
                  <c:v>-1</c:v>
                </c:pt>
                <c:pt idx="108">
                  <c:v>-1</c:v>
                </c:pt>
                <c:pt idx="109">
                  <c:v>-1</c:v>
                </c:pt>
              </c:numCache>
            </c:numRef>
          </c:yVal>
          <c:smooth val="0"/>
          <c:extLst>
            <c:ext xmlns:c16="http://schemas.microsoft.com/office/drawing/2014/chart" uri="{C3380CC4-5D6E-409C-BE32-E72D297353CC}">
              <c16:uniqueId val="{00000003-A52E-4B7A-8D44-56FC228B9DF8}"/>
            </c:ext>
          </c:extLst>
        </c:ser>
        <c:dLbls>
          <c:showLegendKey val="0"/>
          <c:showVal val="0"/>
          <c:showCatName val="0"/>
          <c:showSerName val="0"/>
          <c:showPercent val="0"/>
          <c:showBubbleSize val="0"/>
        </c:dLbls>
        <c:axId val="714942736"/>
        <c:axId val="714943216"/>
      </c:scatterChart>
      <c:valAx>
        <c:axId val="71494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43216"/>
        <c:crosses val="autoZero"/>
        <c:crossBetween val="midCat"/>
      </c:valAx>
      <c:valAx>
        <c:axId val="7149432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Kills per 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942736"/>
        <c:crosses val="autoZero"/>
        <c:crossBetween val="midCat"/>
      </c:valAx>
      <c:spPr>
        <a:noFill/>
        <a:ln>
          <a:noFill/>
        </a:ln>
        <a:effectLst/>
      </c:spPr>
    </c:plotArea>
    <c:legend>
      <c:legendPos val="b"/>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[cs_source_stats.xlsx]calculations!kdr_trend</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KDR with</a:t>
            </a:r>
            <a:r>
              <a:rPr lang="en-US" b="1" baseline="0"/>
              <a:t> Sessions Volume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calculations!$G$113</c:f>
              <c:strCache>
                <c:ptCount val="1"/>
                <c:pt idx="0">
                  <c:v>Sessions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calculations!$F$114:$F$129</c:f>
              <c:multiLvlStrCache>
                <c:ptCount val="13"/>
                <c:lvl>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pt idx="12">
                    <c:v>October</c:v>
                  </c:pt>
                </c:lvl>
                <c:lvl>
                  <c:pt idx="0">
                    <c:v>2025</c:v>
                  </c:pt>
                  <c:pt idx="3">
                    <c:v>2026</c:v>
                  </c:pt>
                </c:lvl>
              </c:multiLvlStrCache>
            </c:multiLvlStrRef>
          </c:cat>
          <c:val>
            <c:numRef>
              <c:f>calculations!$G$114:$G$129</c:f>
              <c:numCache>
                <c:formatCode>General</c:formatCode>
                <c:ptCount val="13"/>
                <c:pt idx="0">
                  <c:v>1</c:v>
                </c:pt>
                <c:pt idx="1">
                  <c:v>19</c:v>
                </c:pt>
                <c:pt idx="2">
                  <c:v>24</c:v>
                </c:pt>
                <c:pt idx="3">
                  <c:v>6</c:v>
                </c:pt>
                <c:pt idx="4">
                  <c:v>5</c:v>
                </c:pt>
                <c:pt idx="5">
                  <c:v>11</c:v>
                </c:pt>
                <c:pt idx="6">
                  <c:v>7</c:v>
                </c:pt>
                <c:pt idx="7">
                  <c:v>8</c:v>
                </c:pt>
                <c:pt idx="8">
                  <c:v>8</c:v>
                </c:pt>
                <c:pt idx="9">
                  <c:v>2</c:v>
                </c:pt>
                <c:pt idx="10">
                  <c:v>2</c:v>
                </c:pt>
                <c:pt idx="11">
                  <c:v>9</c:v>
                </c:pt>
                <c:pt idx="12">
                  <c:v>8</c:v>
                </c:pt>
              </c:numCache>
            </c:numRef>
          </c:val>
          <c:extLst>
            <c:ext xmlns:c16="http://schemas.microsoft.com/office/drawing/2014/chart" uri="{C3380CC4-5D6E-409C-BE32-E72D297353CC}">
              <c16:uniqueId val="{00000000-76B5-4704-AD2A-886D442A0967}"/>
            </c:ext>
          </c:extLst>
        </c:ser>
        <c:dLbls>
          <c:showLegendKey val="0"/>
          <c:showVal val="1"/>
          <c:showCatName val="0"/>
          <c:showSerName val="0"/>
          <c:showPercent val="0"/>
          <c:showBubbleSize val="0"/>
        </c:dLbls>
        <c:gapWidth val="20"/>
        <c:axId val="901094352"/>
        <c:axId val="111831888"/>
      </c:barChart>
      <c:lineChart>
        <c:grouping val="standard"/>
        <c:varyColors val="0"/>
        <c:ser>
          <c:idx val="1"/>
          <c:order val="1"/>
          <c:tx>
            <c:strRef>
              <c:f>calculations!$H$113</c:f>
              <c:strCache>
                <c:ptCount val="1"/>
                <c:pt idx="0">
                  <c:v>_KDR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multiLvlStrRef>
              <c:f>calculations!$F$114:$F$129</c:f>
              <c:multiLvlStrCache>
                <c:ptCount val="13"/>
                <c:lvl>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pt idx="12">
                    <c:v>October</c:v>
                  </c:pt>
                </c:lvl>
                <c:lvl>
                  <c:pt idx="0">
                    <c:v>2025</c:v>
                  </c:pt>
                  <c:pt idx="3">
                    <c:v>2026</c:v>
                  </c:pt>
                </c:lvl>
              </c:multiLvlStrCache>
            </c:multiLvlStrRef>
          </c:cat>
          <c:val>
            <c:numRef>
              <c:f>calculations!$H$114:$H$129</c:f>
              <c:numCache>
                <c:formatCode>0.00</c:formatCode>
                <c:ptCount val="13"/>
                <c:pt idx="0">
                  <c:v>1.368421052631579</c:v>
                </c:pt>
                <c:pt idx="1">
                  <c:v>1.6746031746031746</c:v>
                </c:pt>
                <c:pt idx="2">
                  <c:v>1.4837398373983739</c:v>
                </c:pt>
                <c:pt idx="3">
                  <c:v>2.3157894736842106</c:v>
                </c:pt>
                <c:pt idx="4">
                  <c:v>1.9</c:v>
                </c:pt>
                <c:pt idx="5">
                  <c:v>1.4006968641114983</c:v>
                </c:pt>
                <c:pt idx="6">
                  <c:v>1.4109589041095891</c:v>
                </c:pt>
                <c:pt idx="7">
                  <c:v>1.1311475409836065</c:v>
                </c:pt>
                <c:pt idx="8">
                  <c:v>1.5031446540880504</c:v>
                </c:pt>
                <c:pt idx="9">
                  <c:v>1.7192982456140351</c:v>
                </c:pt>
                <c:pt idx="10">
                  <c:v>1.6129032258064515</c:v>
                </c:pt>
                <c:pt idx="11">
                  <c:v>1.2459016393442623</c:v>
                </c:pt>
                <c:pt idx="12">
                  <c:v>1.4036697247706422</c:v>
                </c:pt>
              </c:numCache>
            </c:numRef>
          </c:val>
          <c:smooth val="0"/>
          <c:extLst>
            <c:ext xmlns:c16="http://schemas.microsoft.com/office/drawing/2014/chart" uri="{C3380CC4-5D6E-409C-BE32-E72D297353CC}">
              <c16:uniqueId val="{00000001-613A-4778-9581-81C09A388629}"/>
            </c:ext>
          </c:extLst>
        </c:ser>
        <c:dLbls>
          <c:showLegendKey val="0"/>
          <c:showVal val="0"/>
          <c:showCatName val="0"/>
          <c:showSerName val="0"/>
          <c:showPercent val="0"/>
          <c:showBubbleSize val="0"/>
        </c:dLbls>
        <c:marker val="1"/>
        <c:smooth val="0"/>
        <c:axId val="1657132496"/>
        <c:axId val="1629185936"/>
      </c:lineChart>
      <c:catAx>
        <c:axId val="90109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31888"/>
        <c:crosses val="autoZero"/>
        <c:auto val="1"/>
        <c:lblAlgn val="ctr"/>
        <c:lblOffset val="100"/>
        <c:noMultiLvlLbl val="0"/>
      </c:catAx>
      <c:valAx>
        <c:axId val="11183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94352"/>
        <c:crosses val="autoZero"/>
        <c:crossBetween val="between"/>
      </c:valAx>
      <c:valAx>
        <c:axId val="16291859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132496"/>
        <c:crosses val="max"/>
        <c:crossBetween val="between"/>
      </c:valAx>
      <c:catAx>
        <c:axId val="1657132496"/>
        <c:scaling>
          <c:orientation val="minMax"/>
        </c:scaling>
        <c:delete val="1"/>
        <c:axPos val="b"/>
        <c:numFmt formatCode="General" sourceLinked="1"/>
        <c:majorTickMark val="out"/>
        <c:minorTickMark val="none"/>
        <c:tickLblPos val="nextTo"/>
        <c:crossAx val="16291859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[cs_source_stats.xlsx]calculations!hs_trend</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 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calculations!$K$113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calculations!$J$114:$J$129</c:f>
              <c:multiLvlStrCache>
                <c:ptCount val="13"/>
                <c:lvl>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pt idx="12">
                    <c:v>October</c:v>
                  </c:pt>
                </c:lvl>
                <c:lvl>
                  <c:pt idx="0">
                    <c:v>2025</c:v>
                  </c:pt>
                  <c:pt idx="3">
                    <c:v>2026</c:v>
                  </c:pt>
                </c:lvl>
              </c:multiLvlStrCache>
            </c:multiLvlStrRef>
          </c:cat>
          <c:val>
            <c:numRef>
              <c:f>calculations!$K$114:$K$129</c:f>
              <c:numCache>
                <c:formatCode>0.00%</c:formatCode>
                <c:ptCount val="13"/>
                <c:pt idx="0">
                  <c:v>0.76923076923076927</c:v>
                </c:pt>
                <c:pt idx="1">
                  <c:v>0.77251184834123221</c:v>
                </c:pt>
                <c:pt idx="2">
                  <c:v>0.75205479452054791</c:v>
                </c:pt>
                <c:pt idx="3">
                  <c:v>0.77272727272727271</c:v>
                </c:pt>
                <c:pt idx="4">
                  <c:v>0.82105263157894737</c:v>
                </c:pt>
                <c:pt idx="5">
                  <c:v>0.77611940298507465</c:v>
                </c:pt>
                <c:pt idx="6">
                  <c:v>0.76699029126213591</c:v>
                </c:pt>
                <c:pt idx="7">
                  <c:v>0.85507246376811596</c:v>
                </c:pt>
                <c:pt idx="8">
                  <c:v>0.75732217573221761</c:v>
                </c:pt>
                <c:pt idx="9">
                  <c:v>0.74489795918367352</c:v>
                </c:pt>
                <c:pt idx="10">
                  <c:v>0.74</c:v>
                </c:pt>
                <c:pt idx="11">
                  <c:v>0.76315789473684215</c:v>
                </c:pt>
                <c:pt idx="12">
                  <c:v>0.83006535947712423</c:v>
                </c:pt>
              </c:numCache>
            </c:numRef>
          </c:val>
          <c:smooth val="0"/>
          <c:extLst>
            <c:ext xmlns:c16="http://schemas.microsoft.com/office/drawing/2014/chart" uri="{C3380CC4-5D6E-409C-BE32-E72D297353CC}">
              <c16:uniqueId val="{00000000-8DB2-455D-B94E-F86AE5FDFFCA}"/>
            </c:ext>
          </c:extLst>
        </c:ser>
        <c:dLbls>
          <c:dLblPos val="t"/>
          <c:showLegendKey val="0"/>
          <c:showVal val="1"/>
          <c:showCatName val="0"/>
          <c:showSerName val="0"/>
          <c:showPercent val="0"/>
          <c:showBubbleSize val="0"/>
        </c:dLbls>
        <c:marker val="1"/>
        <c:smooth val="0"/>
        <c:axId val="506510175"/>
        <c:axId val="1475594479"/>
      </c:lineChart>
      <c:catAx>
        <c:axId val="50651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94479"/>
        <c:crosses val="autoZero"/>
        <c:auto val="1"/>
        <c:lblAlgn val="ctr"/>
        <c:lblOffset val="100"/>
        <c:noMultiLvlLbl val="0"/>
      </c:catAx>
      <c:valAx>
        <c:axId val="14755944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51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[cs_source_stats.xlsx]calculations!kpm_trend</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Kills Per Minute with Total Playtime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calculations!$C$113</c:f>
              <c:strCache>
                <c:ptCount val="1"/>
                <c:pt idx="0">
                  <c:v>Playtime_hr_</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calculations!$B$114:$B$129</c:f>
              <c:multiLvlStrCache>
                <c:ptCount val="13"/>
                <c:lvl>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pt idx="12">
                    <c:v>October</c:v>
                  </c:pt>
                </c:lvl>
                <c:lvl>
                  <c:pt idx="0">
                    <c:v>2025</c:v>
                  </c:pt>
                  <c:pt idx="3">
                    <c:v>2026</c:v>
                  </c:pt>
                </c:lvl>
              </c:multiLvlStrCache>
            </c:multiLvlStrRef>
          </c:cat>
          <c:val>
            <c:numRef>
              <c:f>calculations!$C$114:$C$129</c:f>
              <c:numCache>
                <c:formatCode>0.00</c:formatCode>
                <c:ptCount val="13"/>
                <c:pt idx="0">
                  <c:v>0.44138888888888889</c:v>
                </c:pt>
                <c:pt idx="1">
                  <c:v>8.3852777777777767</c:v>
                </c:pt>
                <c:pt idx="2">
                  <c:v>10.474722222222223</c:v>
                </c:pt>
                <c:pt idx="3">
                  <c:v>1.5486111111111112</c:v>
                </c:pt>
                <c:pt idx="4">
                  <c:v>1.3755555555555554</c:v>
                </c:pt>
                <c:pt idx="5">
                  <c:v>5.6772222222222224</c:v>
                </c:pt>
                <c:pt idx="6">
                  <c:v>1.6630555555555555</c:v>
                </c:pt>
                <c:pt idx="7">
                  <c:v>1.1713888888888888</c:v>
                </c:pt>
                <c:pt idx="8">
                  <c:v>3.4566666666666674</c:v>
                </c:pt>
                <c:pt idx="9">
                  <c:v>1.3574999999999997</c:v>
                </c:pt>
                <c:pt idx="10">
                  <c:v>0.67305555555555563</c:v>
                </c:pt>
                <c:pt idx="11">
                  <c:v>4.8011111111111111</c:v>
                </c:pt>
                <c:pt idx="12">
                  <c:v>2.3169444444444451</c:v>
                </c:pt>
              </c:numCache>
            </c:numRef>
          </c:val>
          <c:extLst>
            <c:ext xmlns:c16="http://schemas.microsoft.com/office/drawing/2014/chart" uri="{C3380CC4-5D6E-409C-BE32-E72D297353CC}">
              <c16:uniqueId val="{00000004-CDCD-4108-AE53-04C97812964B}"/>
            </c:ext>
          </c:extLst>
        </c:ser>
        <c:dLbls>
          <c:showLegendKey val="0"/>
          <c:showVal val="1"/>
          <c:showCatName val="0"/>
          <c:showSerName val="0"/>
          <c:showPercent val="0"/>
          <c:showBubbleSize val="0"/>
        </c:dLbls>
        <c:gapWidth val="20"/>
        <c:axId val="506723615"/>
        <c:axId val="1475410639"/>
      </c:barChart>
      <c:lineChart>
        <c:grouping val="standard"/>
        <c:varyColors val="0"/>
        <c:ser>
          <c:idx val="1"/>
          <c:order val="1"/>
          <c:tx>
            <c:strRef>
              <c:f>calculations!$D$113</c:f>
              <c:strCache>
                <c:ptCount val="1"/>
                <c:pt idx="0">
                  <c:v>Sum of Kills_Per_Min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multiLvlStrRef>
              <c:f>calculations!$B$114:$B$129</c:f>
              <c:multiLvlStrCache>
                <c:ptCount val="13"/>
                <c:lvl>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pt idx="12">
                    <c:v>October</c:v>
                  </c:pt>
                </c:lvl>
                <c:lvl>
                  <c:pt idx="0">
                    <c:v>2025</c:v>
                  </c:pt>
                  <c:pt idx="3">
                    <c:v>2026</c:v>
                  </c:pt>
                </c:lvl>
              </c:multiLvlStrCache>
            </c:multiLvlStrRef>
          </c:cat>
          <c:val>
            <c:numRef>
              <c:f>calculations!$D$114:$D$129</c:f>
              <c:numCache>
                <c:formatCode>0.00</c:formatCode>
                <c:ptCount val="13"/>
                <c:pt idx="0">
                  <c:v>0.98174952800503457</c:v>
                </c:pt>
                <c:pt idx="1">
                  <c:v>1.2581574850101038</c:v>
                </c:pt>
                <c:pt idx="2">
                  <c:v>1.1615264260521361</c:v>
                </c:pt>
                <c:pt idx="3">
                  <c:v>1.420627802690583</c:v>
                </c:pt>
                <c:pt idx="4">
                  <c:v>1.1510500807754442</c:v>
                </c:pt>
                <c:pt idx="5">
                  <c:v>1.1801546139543988</c:v>
                </c:pt>
                <c:pt idx="6">
                  <c:v>1.0322365124436279</c:v>
                </c:pt>
                <c:pt idx="7">
                  <c:v>0.98174057386767843</c:v>
                </c:pt>
                <c:pt idx="8">
                  <c:v>1.1523625843780134</c:v>
                </c:pt>
                <c:pt idx="9">
                  <c:v>1.203192142418662</c:v>
                </c:pt>
                <c:pt idx="10">
                  <c:v>1.2381345439537761</c:v>
                </c:pt>
                <c:pt idx="11">
                  <c:v>1.0553112705392271</c:v>
                </c:pt>
                <c:pt idx="12">
                  <c:v>1.1005874595372254</c:v>
                </c:pt>
              </c:numCache>
            </c:numRef>
          </c:val>
          <c:smooth val="0"/>
          <c:extLst>
            <c:ext xmlns:c16="http://schemas.microsoft.com/office/drawing/2014/chart" uri="{C3380CC4-5D6E-409C-BE32-E72D297353CC}">
              <c16:uniqueId val="{00000007-CDCD-4108-AE53-04C97812964B}"/>
            </c:ext>
          </c:extLst>
        </c:ser>
        <c:dLbls>
          <c:showLegendKey val="0"/>
          <c:showVal val="0"/>
          <c:showCatName val="0"/>
          <c:showSerName val="0"/>
          <c:showPercent val="0"/>
          <c:showBubbleSize val="0"/>
        </c:dLbls>
        <c:marker val="1"/>
        <c:smooth val="0"/>
        <c:axId val="1901519840"/>
        <c:axId val="1958377359"/>
      </c:lineChart>
      <c:catAx>
        <c:axId val="50672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10639"/>
        <c:crosses val="autoZero"/>
        <c:auto val="1"/>
        <c:lblAlgn val="ctr"/>
        <c:lblOffset val="100"/>
        <c:noMultiLvlLbl val="0"/>
      </c:catAx>
      <c:valAx>
        <c:axId val="1475410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23615"/>
        <c:crosses val="autoZero"/>
        <c:crossBetween val="between"/>
      </c:valAx>
      <c:valAx>
        <c:axId val="19583773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519840"/>
        <c:crosses val="max"/>
        <c:crossBetween val="between"/>
      </c:valAx>
      <c:catAx>
        <c:axId val="1901519840"/>
        <c:scaling>
          <c:orientation val="minMax"/>
        </c:scaling>
        <c:delete val="1"/>
        <c:axPos val="b"/>
        <c:numFmt formatCode="General" sourceLinked="1"/>
        <c:majorTickMark val="out"/>
        <c:minorTickMark val="none"/>
        <c:tickLblPos val="nextTo"/>
        <c:crossAx val="19583773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[cs_source_stats.xlsx]calculations!duration_trend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Average Session</a:t>
            </a:r>
            <a:r>
              <a:rPr lang="en-US" b="1" baseline="0"/>
              <a:t> Duration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calculations!$N$113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calculations!$M$114:$M$129</c:f>
              <c:multiLvlStrCache>
                <c:ptCount val="13"/>
                <c:lvl>
                  <c:pt idx="0">
                    <c:v>October</c:v>
                  </c:pt>
                  <c:pt idx="1">
                    <c:v>November</c:v>
                  </c:pt>
                  <c:pt idx="2">
                    <c:v>December</c:v>
                  </c:pt>
                  <c:pt idx="3">
                    <c:v>January</c:v>
                  </c:pt>
                  <c:pt idx="4">
                    <c:v>February</c:v>
                  </c:pt>
                  <c:pt idx="5">
                    <c:v>March</c:v>
                  </c:pt>
                  <c:pt idx="6">
                    <c:v>April</c:v>
                  </c:pt>
                  <c:pt idx="7">
                    <c:v>May</c:v>
                  </c:pt>
                  <c:pt idx="8">
                    <c:v>June</c:v>
                  </c:pt>
                  <c:pt idx="9">
                    <c:v>July</c:v>
                  </c:pt>
                  <c:pt idx="10">
                    <c:v>August</c:v>
                  </c:pt>
                  <c:pt idx="11">
                    <c:v>September</c:v>
                  </c:pt>
                  <c:pt idx="12">
                    <c:v>October</c:v>
                  </c:pt>
                </c:lvl>
                <c:lvl>
                  <c:pt idx="0">
                    <c:v>2025</c:v>
                  </c:pt>
                  <c:pt idx="3">
                    <c:v>2026</c:v>
                  </c:pt>
                </c:lvl>
              </c:multiLvlStrCache>
            </c:multiLvlStrRef>
          </c:cat>
          <c:val>
            <c:numRef>
              <c:f>calculations!$N$114:$N$129</c:f>
              <c:numCache>
                <c:formatCode>0.00</c:formatCode>
                <c:ptCount val="13"/>
                <c:pt idx="0">
                  <c:v>26.483333333333334</c:v>
                </c:pt>
                <c:pt idx="1">
                  <c:v>26.479824561403507</c:v>
                </c:pt>
                <c:pt idx="2">
                  <c:v>26.186805555555555</c:v>
                </c:pt>
                <c:pt idx="3">
                  <c:v>15.486111111111112</c:v>
                </c:pt>
                <c:pt idx="4">
                  <c:v>16.506666666666668</c:v>
                </c:pt>
                <c:pt idx="5">
                  <c:v>30.966666666666665</c:v>
                </c:pt>
                <c:pt idx="6">
                  <c:v>14.254761904761905</c:v>
                </c:pt>
                <c:pt idx="7">
                  <c:v>8.7854166666666664</c:v>
                </c:pt>
                <c:pt idx="8">
                  <c:v>25.925000000000004</c:v>
                </c:pt>
                <c:pt idx="9">
                  <c:v>40.724999999999994</c:v>
                </c:pt>
                <c:pt idx="10">
                  <c:v>20.19166666666667</c:v>
                </c:pt>
                <c:pt idx="11">
                  <c:v>32.007407407407406</c:v>
                </c:pt>
                <c:pt idx="12">
                  <c:v>17.377083333333339</c:v>
                </c:pt>
              </c:numCache>
            </c:numRef>
          </c:val>
          <c:smooth val="0"/>
          <c:extLst>
            <c:ext xmlns:c16="http://schemas.microsoft.com/office/drawing/2014/chart" uri="{C3380CC4-5D6E-409C-BE32-E72D297353CC}">
              <c16:uniqueId val="{00000000-8D13-45CB-8DC1-ACF19D2D5C1D}"/>
            </c:ext>
          </c:extLst>
        </c:ser>
        <c:dLbls>
          <c:dLblPos val="t"/>
          <c:showLegendKey val="0"/>
          <c:showVal val="1"/>
          <c:showCatName val="0"/>
          <c:showSerName val="0"/>
          <c:showPercent val="0"/>
          <c:showBubbleSize val="0"/>
        </c:dLbls>
        <c:marker val="1"/>
        <c:smooth val="0"/>
        <c:axId val="513860880"/>
        <c:axId val="1475591119"/>
      </c:lineChart>
      <c:catAx>
        <c:axId val="51386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591119"/>
        <c:crosses val="autoZero"/>
        <c:auto val="1"/>
        <c:lblAlgn val="ctr"/>
        <c:lblOffset val="100"/>
        <c:noMultiLvlLbl val="0"/>
      </c:catAx>
      <c:valAx>
        <c:axId val="1475591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6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spcFirstLastPara="1" vertOverflow="ellipsis" horzOverflow="overflow" wrap="square" lIns="0" tIns="0" rIns="0" bIns="0" anchor="ctr" anchorCtr="1"/>
          <a:lstStyle/>
          <a:p>
            <a:pPr algn="ctr" rtl="0">
              <a:defRPr b="1"/>
            </a:pPr>
            <a:r>
              <a:rPr lang="en-US" b="1"/>
              <a:t>Session KDR Distribution</a:t>
            </a:r>
            <a:endParaRPr lang="en-GB"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0000000-9C49-4914-AAF6-66CECDF13988}" formatIdx="1">
          <cx:tx>
            <cx:txData>
              <cx:f>_xlchart.v1.6</cx:f>
              <cx:v>session_kdr</cx:v>
            </cx:txData>
          </cx:tx>
          <cx:spPr>
            <a:solidFill>
              <a:schemeClr val="accent2">
                <a:lumMod val="40000"/>
                <a:lumOff val="60000"/>
              </a:schemeClr>
            </a:solidFill>
            <a:ln>
              <a:noFill/>
            </a:ln>
          </cx:spPr>
          <cx:dataLabels>
            <cx:txPr>
              <a:bodyPr spcFirstLastPara="1" vertOverflow="ellipsis" horzOverflow="overflow" wrap="square" lIns="0" tIns="0" rIns="0" bIns="0" anchor="ctr" anchorCtr="1"/>
              <a:lstStyle/>
              <a:p>
                <a:pPr algn="ctr" rtl="0">
                  <a:defRPr b="1"/>
                </a:pPr>
                <a:endParaRPr lang="en-GB" sz="90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binning intervalClosed="r">
              <cx:binSize val="0.30000000000000004"/>
            </cx:binning>
          </cx:layoutPr>
        </cx:series>
      </cx:plotAreaRegion>
      <cx:axis id="0">
        <cx:catScaling gapWidth="0"/>
        <cx:tickLabels/>
      </cx:axis>
      <cx:axis id="1">
        <cx:valScaling/>
        <cx:majorGridlines/>
        <cx:tickLabels/>
      </cx:axis>
    </cx:plotArea>
  </cx:chart>
  <cx:spPr>
    <a:ln>
      <a:solidFill>
        <a:schemeClr val="bg1">
          <a:lumMod val="50000"/>
        </a:schemeClr>
      </a:solidFill>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b="1"/>
            </a:pPr>
            <a:r>
              <a:rPr lang="en-US" b="1"/>
              <a:t>Session HS % Distribution</a:t>
            </a:r>
            <a:endParaRPr lang="en-GB"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0000000-490D-4569-A701-9E19A3CD96CB}" formatIdx="0">
          <cx:tx>
            <cx:txData>
              <cx:f>_xlchart.v1.0</cx:f>
              <cx:v>session_hs_pct</cx:v>
            </cx:txData>
          </cx:tx>
          <cx:spPr>
            <a:solidFill>
              <a:schemeClr val="accent3">
                <a:lumMod val="40000"/>
                <a:lumOff val="60000"/>
              </a:schemeClr>
            </a:solidFill>
          </cx:spPr>
          <cx:dataLabels>
            <cx:txPr>
              <a:bodyPr spcFirstLastPara="1" vertOverflow="ellipsis" horzOverflow="overflow" wrap="square" lIns="0" tIns="0" rIns="0" bIns="0" anchor="ctr" anchorCtr="1"/>
              <a:lstStyle/>
              <a:p>
                <a:pPr algn="ctr" rtl="0">
                  <a:defRPr b="1"/>
                </a:pPr>
                <a:endParaRPr lang="en-GB" sz="90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binning intervalClosed="r" underflow="40">
              <cx:binSize val="5"/>
            </cx:binning>
          </cx:layoutPr>
        </cx:series>
      </cx:plotAreaRegion>
      <cx:axis id="0">
        <cx:catScaling gapWidth="0"/>
        <cx:tickLabels/>
      </cx:axis>
      <cx:axis id="1">
        <cx:valScaling/>
        <cx:majorGridlines/>
        <cx:tickLabels/>
      </cx:axis>
    </cx:plotArea>
  </cx:chart>
  <cx:spPr>
    <a:ln>
      <a:solidFill>
        <a:schemeClr val="bg1">
          <a:lumMod val="50000"/>
        </a:schemeClr>
      </a:solidFill>
    </a:ln>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rich>
          <a:bodyPr spcFirstLastPara="1" vertOverflow="ellipsis" horzOverflow="overflow" wrap="square" lIns="0" tIns="0" rIns="0" bIns="0" anchor="ctr" anchorCtr="1"/>
          <a:lstStyle/>
          <a:p>
            <a:pPr algn="ctr" rtl="0">
              <a:defRPr b="1"/>
            </a:pPr>
            <a:r>
              <a:rPr lang="en-US" b="1"/>
              <a:t>Session Kills per Minute Distribution</a:t>
            </a:r>
            <a:endParaRPr lang="en-GB"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0000000-9B12-425A-947C-6449B7F30628}">
          <cx:tx>
            <cx:txData>
              <cx:f>_xlchart.v1.4</cx:f>
              <cx:v>sessions_kills_per_min</cx:v>
            </cx:txData>
          </cx:tx>
          <cx:spPr>
            <a:solidFill>
              <a:schemeClr val="accent5">
                <a:lumMod val="40000"/>
                <a:lumOff val="60000"/>
              </a:schemeClr>
            </a:solidFill>
          </cx:spPr>
          <cx:dataLabels>
            <cx:txPr>
              <a:bodyPr spcFirstLastPara="1" vertOverflow="ellipsis" horzOverflow="overflow" wrap="square" lIns="0" tIns="0" rIns="0" bIns="0" anchor="ctr" anchorCtr="1"/>
              <a:lstStyle/>
              <a:p>
                <a:pPr algn="ctr" rtl="0">
                  <a:defRPr b="1"/>
                </a:pPr>
                <a:endParaRPr lang="en-GB" sz="90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binning intervalClosed="r">
              <cx:binSize val="0.25"/>
            </cx:binning>
          </cx:layoutPr>
        </cx:series>
      </cx:plotAreaRegion>
      <cx:axis id="0">
        <cx:catScaling gapWidth="0"/>
        <cx:tickLabels/>
      </cx:axis>
      <cx:axis id="1">
        <cx:valScaling/>
        <cx:majorGridlines/>
        <cx:tickLabels/>
      </cx:axis>
    </cx:plotArea>
  </cx:chart>
  <cx:spPr>
    <a:ln>
      <a:solidFill>
        <a:schemeClr val="bg1">
          <a:lumMod val="50000"/>
        </a:schemeClr>
      </a:solidFill>
    </a:ln>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Session Duration Distribution</cx:v>
        </cx:txData>
      </cx:tx>
      <cx:txPr>
        <a:bodyPr spcFirstLastPara="1" vertOverflow="ellipsis" horzOverflow="overflow" wrap="square" lIns="0" tIns="0" rIns="0" bIns="0" anchor="ctr" anchorCtr="1"/>
        <a:lstStyle/>
        <a:p>
          <a:pPr algn="ctr" rtl="0">
            <a:defRPr b="1"/>
          </a:pPr>
          <a:r>
            <a:rPr lang="en-US" b="1"/>
            <a:t>Session Duration Distribution</a:t>
          </a:r>
        </a:p>
      </cx:txPr>
    </cx:title>
    <cx:plotArea>
      <cx:plotAreaRegion>
        <cx:series layoutId="clusteredColumn" uniqueId="{00000000-B12D-4528-B897-7EF2AC00DEF5}" formatIdx="0">
          <cx:tx>
            <cx:txData>
              <cx:f>_xlchart.v1.2</cx:f>
              <cx:v>session_duration_min</cx:v>
            </cx:txData>
          </cx:tx>
          <cx:spPr>
            <a:solidFill>
              <a:schemeClr val="tx2">
                <a:lumMod val="25000"/>
                <a:lumOff val="75000"/>
              </a:schemeClr>
            </a:solidFill>
          </cx:spPr>
          <cx:dataLabels pos="outEnd">
            <cx:txPr>
              <a:bodyPr spcFirstLastPara="1" vertOverflow="ellipsis" horzOverflow="overflow" wrap="square" lIns="0" tIns="0" rIns="0" bIns="0" anchor="ctr" anchorCtr="1"/>
              <a:lstStyle/>
              <a:p>
                <a:pPr algn="ctr" rtl="0">
                  <a:defRPr b="1"/>
                </a:pPr>
                <a:endParaRPr lang="en-GB" sz="900" b="1" i="0" u="none" strike="noStrike" baseline="0">
                  <a:solidFill>
                    <a:sysClr val="windowText" lastClr="000000">
                      <a:lumMod val="65000"/>
                      <a:lumOff val="35000"/>
                    </a:sysClr>
                  </a:solidFill>
                  <a:latin typeface="Aptos Narrow" panose="02110004020202020204"/>
                </a:endParaRPr>
              </a:p>
            </cx:txPr>
            <cx:visibility seriesName="0" categoryName="0" value="1"/>
            <cx:separator>, </cx:separator>
          </cx:dataLabels>
          <cx:dataId val="0"/>
          <cx:layoutPr>
            <cx:binning intervalClosed="r">
              <cx:binSize val="10"/>
            </cx:binning>
          </cx:layoutPr>
        </cx:series>
      </cx:plotAreaRegion>
      <cx:axis id="0">
        <cx:catScaling gapWidth="0"/>
        <cx:tickLabels/>
      </cx:axis>
      <cx:axis id="1">
        <cx:valScaling/>
        <cx:majorGridlines/>
        <cx:tickLabels/>
      </cx:axis>
    </cx:plotArea>
  </cx:chart>
  <cx:spPr>
    <a:ln>
      <a:solidFill>
        <a:schemeClr val="bg1">
          <a:lumMod val="50000"/>
        </a:schemeClr>
      </a:solid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3.xml"/><Relationship Id="rId7" Type="http://schemas.openxmlformats.org/officeDocument/2006/relationships/chart" Target="../charts/chart3.xml"/><Relationship Id="rId12" Type="http://schemas.openxmlformats.org/officeDocument/2006/relationships/chart" Target="../charts/chart8.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microsoft.com/office/2014/relationships/chartEx" Target="../charts/chartEx4.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6</xdr:col>
      <xdr:colOff>62410</xdr:colOff>
      <xdr:row>13</xdr:row>
      <xdr:rowOff>114300</xdr:rowOff>
    </xdr:from>
    <xdr:to>
      <xdr:col>11</xdr:col>
      <xdr:colOff>395785</xdr:colOff>
      <xdr:row>28</xdr:row>
      <xdr:rowOff>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F413739C-8F6A-40C0-B2F2-0005B5531F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6810" y="2686050"/>
              <a:ext cx="41148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11</xdr:col>
      <xdr:colOff>448670</xdr:colOff>
      <xdr:row>13</xdr:row>
      <xdr:rowOff>114300</xdr:rowOff>
    </xdr:from>
    <xdr:to>
      <xdr:col>17</xdr:col>
      <xdr:colOff>10520</xdr:colOff>
      <xdr:row>28</xdr:row>
      <xdr:rowOff>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EAEEDBC6-5579-401B-A863-196E9597BF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954495" y="2686050"/>
              <a:ext cx="41148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63404</xdr:colOff>
      <xdr:row>13</xdr:row>
      <xdr:rowOff>114300</xdr:rowOff>
    </xdr:from>
    <xdr:to>
      <xdr:col>23</xdr:col>
      <xdr:colOff>525086</xdr:colOff>
      <xdr:row>28</xdr:row>
      <xdr:rowOff>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40EF4DD-EBF5-4F68-926F-58E120B59D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122179" y="2686050"/>
              <a:ext cx="4119282"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xdr:col>
      <xdr:colOff>9525</xdr:colOff>
      <xdr:row>13</xdr:row>
      <xdr:rowOff>114300</xdr:rowOff>
    </xdr:from>
    <xdr:to>
      <xdr:col>6</xdr:col>
      <xdr:colOff>9525</xdr:colOff>
      <xdr:row>28</xdr:row>
      <xdr:rowOff>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546DC73-CBDD-450A-930E-0065A9EBB7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19125" y="2686050"/>
              <a:ext cx="41148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xdr:col>
      <xdr:colOff>0</xdr:colOff>
      <xdr:row>28</xdr:row>
      <xdr:rowOff>47625</xdr:rowOff>
    </xdr:from>
    <xdr:to>
      <xdr:col>6</xdr:col>
      <xdr:colOff>0</xdr:colOff>
      <xdr:row>42</xdr:row>
      <xdr:rowOff>123825</xdr:rowOff>
    </xdr:to>
    <xdr:graphicFrame macro="">
      <xdr:nvGraphicFramePr>
        <xdr:cNvPr id="2" name="Chart 1">
          <a:extLst>
            <a:ext uri="{FF2B5EF4-FFF2-40B4-BE49-F238E27FC236}">
              <a16:creationId xmlns:a16="http://schemas.microsoft.com/office/drawing/2014/main" id="{AE499628-A9C5-472B-B7DB-69DCE3332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56581</xdr:colOff>
      <xdr:row>28</xdr:row>
      <xdr:rowOff>47625</xdr:rowOff>
    </xdr:from>
    <xdr:to>
      <xdr:col>11</xdr:col>
      <xdr:colOff>389956</xdr:colOff>
      <xdr:row>42</xdr:row>
      <xdr:rowOff>123825</xdr:rowOff>
    </xdr:to>
    <xdr:graphicFrame macro="">
      <xdr:nvGraphicFramePr>
        <xdr:cNvPr id="4" name="Chart 3">
          <a:extLst>
            <a:ext uri="{FF2B5EF4-FFF2-40B4-BE49-F238E27FC236}">
              <a16:creationId xmlns:a16="http://schemas.microsoft.com/office/drawing/2014/main" id="{65153D6C-524D-4E91-AF3D-36AC58B98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17</xdr:col>
      <xdr:colOff>64967</xdr:colOff>
      <xdr:row>28</xdr:row>
      <xdr:rowOff>47625</xdr:rowOff>
    </xdr:from>
    <xdr:to>
      <xdr:col>23</xdr:col>
      <xdr:colOff>526649</xdr:colOff>
      <xdr:row>42</xdr:row>
      <xdr:rowOff>123825</xdr:rowOff>
    </xdr:to>
    <xdr:graphicFrame macro="">
      <xdr:nvGraphicFramePr>
        <xdr:cNvPr id="12" name="Chart 11">
          <a:extLst>
            <a:ext uri="{FF2B5EF4-FFF2-40B4-BE49-F238E27FC236}">
              <a16:creationId xmlns:a16="http://schemas.microsoft.com/office/drawing/2014/main" id="{44167DB4-DA28-4511-8AFA-A23EEFE0D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11</xdr:col>
      <xdr:colOff>446537</xdr:colOff>
      <xdr:row>28</xdr:row>
      <xdr:rowOff>47625</xdr:rowOff>
    </xdr:from>
    <xdr:to>
      <xdr:col>17</xdr:col>
      <xdr:colOff>8387</xdr:colOff>
      <xdr:row>42</xdr:row>
      <xdr:rowOff>123825</xdr:rowOff>
    </xdr:to>
    <xdr:graphicFrame macro="">
      <xdr:nvGraphicFramePr>
        <xdr:cNvPr id="15" name="Chart 14">
          <a:extLst>
            <a:ext uri="{FF2B5EF4-FFF2-40B4-BE49-F238E27FC236}">
              <a16:creationId xmlns:a16="http://schemas.microsoft.com/office/drawing/2014/main" id="{6C4E8278-6FB0-4113-B76C-08504EAC9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0</xdr:colOff>
      <xdr:row>87</xdr:row>
      <xdr:rowOff>0</xdr:rowOff>
    </xdr:from>
    <xdr:to>
      <xdr:col>3</xdr:col>
      <xdr:colOff>320040</xdr:colOff>
      <xdr:row>92</xdr:row>
      <xdr:rowOff>47625</xdr:rowOff>
    </xdr:to>
    <mc:AlternateContent xmlns:mc="http://schemas.openxmlformats.org/markup-compatibility/2006" xmlns:tsle="http://schemas.microsoft.com/office/drawing/2012/timeslicer">
      <mc:Choice Requires="tsle">
        <xdr:graphicFrame macro="">
          <xdr:nvGraphicFramePr>
            <xdr:cNvPr id="17" name="session_start">
              <a:extLst>
                <a:ext uri="{FF2B5EF4-FFF2-40B4-BE49-F238E27FC236}">
                  <a16:creationId xmlns:a16="http://schemas.microsoft.com/office/drawing/2014/main" id="{5C0979FB-7E0B-48A1-49D6-7C099E5AF350}"/>
                </a:ext>
              </a:extLst>
            </xdr:cNvPr>
            <xdr:cNvGraphicFramePr/>
          </xdr:nvGraphicFramePr>
          <xdr:xfrm>
            <a:off x="0" y="0"/>
            <a:ext cx="0" cy="0"/>
          </xdr:xfrm>
          <a:graphic>
            <a:graphicData uri="http://schemas.microsoft.com/office/drawing/2012/timeslicer">
              <tsle:timeslicer name="session_start"/>
            </a:graphicData>
          </a:graphic>
        </xdr:graphicFrame>
      </mc:Choice>
      <mc:Fallback xmlns="">
        <xdr:sp macro="" textlink="">
          <xdr:nvSpPr>
            <xdr:cNvPr id="0" name=""/>
            <xdr:cNvSpPr>
              <a:spLocks noTextEdit="1"/>
            </xdr:cNvSpPr>
          </xdr:nvSpPr>
          <xdr:spPr>
            <a:xfrm>
              <a:off x="609600" y="17145000"/>
              <a:ext cx="2377440" cy="13811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xdr:col>
      <xdr:colOff>0</xdr:colOff>
      <xdr:row>92</xdr:row>
      <xdr:rowOff>89655</xdr:rowOff>
    </xdr:from>
    <xdr:to>
      <xdr:col>3</xdr:col>
      <xdr:colOff>320040</xdr:colOff>
      <xdr:row>96</xdr:row>
      <xdr:rowOff>61080</xdr:rowOff>
    </xdr:to>
    <mc:AlternateContent xmlns:mc="http://schemas.openxmlformats.org/markup-compatibility/2006" xmlns:a14="http://schemas.microsoft.com/office/drawing/2010/main">
      <mc:Choice Requires="a14">
        <xdr:graphicFrame macro="">
          <xdr:nvGraphicFramePr>
            <xdr:cNvPr id="18" name="duration_category">
              <a:extLst>
                <a:ext uri="{FF2B5EF4-FFF2-40B4-BE49-F238E27FC236}">
                  <a16:creationId xmlns:a16="http://schemas.microsoft.com/office/drawing/2014/main" id="{2AEC43FB-3CFF-49DA-995D-79C54CB67400}"/>
                </a:ext>
              </a:extLst>
            </xdr:cNvPr>
            <xdr:cNvGraphicFramePr/>
          </xdr:nvGraphicFramePr>
          <xdr:xfrm>
            <a:off x="0" y="0"/>
            <a:ext cx="0" cy="0"/>
          </xdr:xfrm>
          <a:graphic>
            <a:graphicData uri="http://schemas.microsoft.com/office/drawing/2010/slicer">
              <sle:slicer xmlns:sle="http://schemas.microsoft.com/office/drawing/2010/slicer" name="duration_category"/>
            </a:graphicData>
          </a:graphic>
        </xdr:graphicFrame>
      </mc:Choice>
      <mc:Fallback xmlns="">
        <xdr:sp macro="" textlink="">
          <xdr:nvSpPr>
            <xdr:cNvPr id="0" name=""/>
            <xdr:cNvSpPr>
              <a:spLocks noTextEdit="1"/>
            </xdr:cNvSpPr>
          </xdr:nvSpPr>
          <xdr:spPr>
            <a:xfrm>
              <a:off x="609600" y="18568155"/>
              <a:ext cx="237744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96</xdr:row>
      <xdr:rowOff>103110</xdr:rowOff>
    </xdr:from>
    <xdr:to>
      <xdr:col>3</xdr:col>
      <xdr:colOff>320040</xdr:colOff>
      <xdr:row>100</xdr:row>
      <xdr:rowOff>64055</xdr:rowOff>
    </xdr:to>
    <mc:AlternateContent xmlns:mc="http://schemas.openxmlformats.org/markup-compatibility/2006" xmlns:a14="http://schemas.microsoft.com/office/drawing/2010/main">
      <mc:Choice Requires="a14">
        <xdr:graphicFrame macro="">
          <xdr:nvGraphicFramePr>
            <xdr:cNvPr id="19" name="session_quality">
              <a:extLst>
                <a:ext uri="{FF2B5EF4-FFF2-40B4-BE49-F238E27FC236}">
                  <a16:creationId xmlns:a16="http://schemas.microsoft.com/office/drawing/2014/main" id="{B2288B87-24F5-5998-0821-AE2F5340ACDA}"/>
                </a:ext>
              </a:extLst>
            </xdr:cNvPr>
            <xdr:cNvGraphicFramePr/>
          </xdr:nvGraphicFramePr>
          <xdr:xfrm>
            <a:off x="0" y="0"/>
            <a:ext cx="0" cy="0"/>
          </xdr:xfrm>
          <a:graphic>
            <a:graphicData uri="http://schemas.microsoft.com/office/drawing/2010/slicer">
              <sle:slicer xmlns:sle="http://schemas.microsoft.com/office/drawing/2010/slicer" name="session_quality"/>
            </a:graphicData>
          </a:graphic>
        </xdr:graphicFrame>
      </mc:Choice>
      <mc:Fallback xmlns="">
        <xdr:sp macro="" textlink="">
          <xdr:nvSpPr>
            <xdr:cNvPr id="0" name=""/>
            <xdr:cNvSpPr>
              <a:spLocks noTextEdit="1"/>
            </xdr:cNvSpPr>
          </xdr:nvSpPr>
          <xdr:spPr>
            <a:xfrm>
              <a:off x="609600" y="19343610"/>
              <a:ext cx="2377440" cy="7229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104</xdr:row>
      <xdr:rowOff>119538</xdr:rowOff>
    </xdr:from>
    <xdr:to>
      <xdr:col>3</xdr:col>
      <xdr:colOff>320040</xdr:colOff>
      <xdr:row>108</xdr:row>
      <xdr:rowOff>80486</xdr:rowOff>
    </xdr:to>
    <mc:AlternateContent xmlns:mc="http://schemas.openxmlformats.org/markup-compatibility/2006" xmlns:a14="http://schemas.microsoft.com/office/drawing/2010/main">
      <mc:Choice Requires="a14">
        <xdr:graphicFrame macro="">
          <xdr:nvGraphicFramePr>
            <xdr:cNvPr id="21" name="is_weekend">
              <a:extLst>
                <a:ext uri="{FF2B5EF4-FFF2-40B4-BE49-F238E27FC236}">
                  <a16:creationId xmlns:a16="http://schemas.microsoft.com/office/drawing/2014/main" id="{C910B191-3199-4C96-9474-7AD5EE8E85B2}"/>
                </a:ext>
              </a:extLst>
            </xdr:cNvPr>
            <xdr:cNvGraphicFramePr/>
          </xdr:nvGraphicFramePr>
          <xdr:xfrm>
            <a:off x="0" y="0"/>
            <a:ext cx="0" cy="0"/>
          </xdr:xfrm>
          <a:graphic>
            <a:graphicData uri="http://schemas.microsoft.com/office/drawing/2010/slicer">
              <sle:slicer xmlns:sle="http://schemas.microsoft.com/office/drawing/2010/slicer" name="is_weekend"/>
            </a:graphicData>
          </a:graphic>
        </xdr:graphicFrame>
      </mc:Choice>
      <mc:Fallback xmlns="">
        <xdr:sp macro="" textlink="">
          <xdr:nvSpPr>
            <xdr:cNvPr id="0" name=""/>
            <xdr:cNvSpPr>
              <a:spLocks noTextEdit="1"/>
            </xdr:cNvSpPr>
          </xdr:nvSpPr>
          <xdr:spPr>
            <a:xfrm>
              <a:off x="609600" y="20884038"/>
              <a:ext cx="2377440" cy="722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0</xdr:colOff>
      <xdr:row>100</xdr:row>
      <xdr:rowOff>106085</xdr:rowOff>
    </xdr:from>
    <xdr:to>
      <xdr:col>3</xdr:col>
      <xdr:colOff>320040</xdr:colOff>
      <xdr:row>104</xdr:row>
      <xdr:rowOff>77510</xdr:rowOff>
    </xdr:to>
    <mc:AlternateContent xmlns:mc="http://schemas.openxmlformats.org/markup-compatibility/2006" xmlns:a14="http://schemas.microsoft.com/office/drawing/2010/main">
      <mc:Choice Requires="a14">
        <xdr:graphicFrame macro="">
          <xdr:nvGraphicFramePr>
            <xdr:cNvPr id="22" name="day_part">
              <a:extLst>
                <a:ext uri="{FF2B5EF4-FFF2-40B4-BE49-F238E27FC236}">
                  <a16:creationId xmlns:a16="http://schemas.microsoft.com/office/drawing/2014/main" id="{A9AF3D8D-AA3F-9A35-49A6-32DF2561ADA9}"/>
                </a:ext>
              </a:extLst>
            </xdr:cNvPr>
            <xdr:cNvGraphicFramePr/>
          </xdr:nvGraphicFramePr>
          <xdr:xfrm>
            <a:off x="0" y="0"/>
            <a:ext cx="0" cy="0"/>
          </xdr:xfrm>
          <a:graphic>
            <a:graphicData uri="http://schemas.microsoft.com/office/drawing/2010/slicer">
              <sle:slicer xmlns:sle="http://schemas.microsoft.com/office/drawing/2010/slicer" name="day_part"/>
            </a:graphicData>
          </a:graphic>
        </xdr:graphicFrame>
      </mc:Choice>
      <mc:Fallback xmlns="">
        <xdr:sp macro="" textlink="">
          <xdr:nvSpPr>
            <xdr:cNvPr id="0" name=""/>
            <xdr:cNvSpPr>
              <a:spLocks noTextEdit="1"/>
            </xdr:cNvSpPr>
          </xdr:nvSpPr>
          <xdr:spPr>
            <a:xfrm>
              <a:off x="609600" y="20108585"/>
              <a:ext cx="237744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9524</xdr:colOff>
      <xdr:row>71</xdr:row>
      <xdr:rowOff>114300</xdr:rowOff>
    </xdr:from>
    <xdr:to>
      <xdr:col>6</xdr:col>
      <xdr:colOff>9524</xdr:colOff>
      <xdr:row>86</xdr:row>
      <xdr:rowOff>0</xdr:rowOff>
    </xdr:to>
    <xdr:graphicFrame macro="">
      <xdr:nvGraphicFramePr>
        <xdr:cNvPr id="3" name="Chart 2">
          <a:extLst>
            <a:ext uri="{FF2B5EF4-FFF2-40B4-BE49-F238E27FC236}">
              <a16:creationId xmlns:a16="http://schemas.microsoft.com/office/drawing/2014/main" id="{57C1A6E0-A704-9281-F676-FB7511E98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6</xdr:col>
      <xdr:colOff>63499</xdr:colOff>
      <xdr:row>71</xdr:row>
      <xdr:rowOff>114300</xdr:rowOff>
    </xdr:from>
    <xdr:to>
      <xdr:col>11</xdr:col>
      <xdr:colOff>396874</xdr:colOff>
      <xdr:row>86</xdr:row>
      <xdr:rowOff>0</xdr:rowOff>
    </xdr:to>
    <xdr:graphicFrame macro="">
      <xdr:nvGraphicFramePr>
        <xdr:cNvPr id="5" name="Chart 4">
          <a:extLst>
            <a:ext uri="{FF2B5EF4-FFF2-40B4-BE49-F238E27FC236}">
              <a16:creationId xmlns:a16="http://schemas.microsoft.com/office/drawing/2014/main" id="{F5DB57AD-7538-7B54-5B2A-AD82EA222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11</xdr:col>
      <xdr:colOff>450849</xdr:colOff>
      <xdr:row>71</xdr:row>
      <xdr:rowOff>114300</xdr:rowOff>
    </xdr:from>
    <xdr:to>
      <xdr:col>17</xdr:col>
      <xdr:colOff>12699</xdr:colOff>
      <xdr:row>86</xdr:row>
      <xdr:rowOff>0</xdr:rowOff>
    </xdr:to>
    <xdr:graphicFrame macro="">
      <xdr:nvGraphicFramePr>
        <xdr:cNvPr id="6" name="Chart 5">
          <a:extLst>
            <a:ext uri="{FF2B5EF4-FFF2-40B4-BE49-F238E27FC236}">
              <a16:creationId xmlns:a16="http://schemas.microsoft.com/office/drawing/2014/main" id="{85427FAC-CFA1-F7F1-6FC0-33C36B5E0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17</xdr:col>
      <xdr:colOff>57150</xdr:colOff>
      <xdr:row>71</xdr:row>
      <xdr:rowOff>114300</xdr:rowOff>
    </xdr:from>
    <xdr:to>
      <xdr:col>23</xdr:col>
      <xdr:colOff>514350</xdr:colOff>
      <xdr:row>86</xdr:row>
      <xdr:rowOff>0</xdr:rowOff>
    </xdr:to>
    <xdr:graphicFrame macro="">
      <xdr:nvGraphicFramePr>
        <xdr:cNvPr id="11" name="Chart 10">
          <a:extLst>
            <a:ext uri="{FF2B5EF4-FFF2-40B4-BE49-F238E27FC236}">
              <a16:creationId xmlns:a16="http://schemas.microsoft.com/office/drawing/2014/main" id="{8D56C48E-C6AF-5CCC-8FB8-F310D2042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ii Hnoiovyi" refreshedDate="46320.431953819447" createdVersion="8" refreshedVersion="8" minRefreshableVersion="3" recordCount="110" xr:uid="{4ACF8F81-6241-4F69-87B2-A34C8BB7A354}">
  <cacheSource type="worksheet">
    <worksheetSource name="data"/>
  </cacheSource>
  <cacheFields count="27">
    <cacheField name="session_id" numFmtId="0">
      <sharedItems containsSemiMixedTypes="0" containsString="0" containsNumber="1" containsInteger="1" minValue="1" maxValue="112"/>
    </cacheField>
    <cacheField name="session_start" numFmtId="164">
      <sharedItems containsSemiMixedTypes="0" containsNonDate="0" containsDate="1" containsString="0" minDate="2025-10-31T23:16:35" maxDate="2026-10-16T23:34:02" count="110">
        <d v="2025-10-31T23:16:35"/>
        <d v="2025-11-01T00:51:03"/>
        <d v="2025-11-02T09:24:09"/>
        <d v="2025-11-05T14:27:17"/>
        <d v="2025-11-05T15:13:12"/>
        <d v="2025-11-05T21:36:03"/>
        <d v="2025-11-20T23:19:52"/>
        <d v="2025-11-20T23:27:42"/>
        <d v="2025-11-22T22:57:44"/>
        <d v="2025-11-25T22:17:02"/>
        <d v="2025-11-26T16:42:55"/>
        <d v="2025-11-26T21:02:58"/>
        <d v="2025-11-27T01:12:34"/>
        <d v="2025-11-28T23:51:32"/>
        <d v="2025-11-29T17:39:22"/>
        <d v="2025-11-29T19:41:19"/>
        <d v="2025-11-29T20:15:43"/>
        <d v="2025-11-30T17:59:19"/>
        <d v="2025-11-30T23:34:09"/>
        <d v="2025-11-30T23:52:23"/>
        <d v="2025-12-01T18:26:30"/>
        <d v="2025-12-02T18:31:25"/>
        <d v="2025-12-04T21:35:04"/>
        <d v="2025-12-05T17:45:24"/>
        <d v="2025-12-05T19:16:33"/>
        <d v="2025-12-06T00:34:49"/>
        <d v="2025-12-07T00:12:57"/>
        <d v="2025-12-07T01:32:51"/>
        <d v="2025-12-07T19:40:04"/>
        <d v="2025-12-07T23:08:25"/>
        <d v="2025-12-10T21:20:19"/>
        <d v="2025-12-12T18:16:07"/>
        <d v="2025-12-13T00:15:08"/>
        <d v="2025-12-13T19:14:25"/>
        <d v="2025-12-16T01:26:12"/>
        <d v="2025-12-18T22:22:47"/>
        <d v="2025-12-18T23:19:12"/>
        <d v="2025-12-19T00:03:54"/>
        <d v="2025-12-19T22:10:57"/>
        <d v="2025-12-20T00:04:24"/>
        <d v="2025-12-28T00:32:59"/>
        <d v="2025-12-28T01:15:44"/>
        <d v="2025-12-29T08:57:47"/>
        <d v="2025-12-29T23:51:31"/>
        <d v="2026-01-10T00:48:57"/>
        <d v="2026-01-10T17:59:09"/>
        <d v="2026-01-10T18:52:41"/>
        <d v="2026-01-25T22:26:33"/>
        <d v="2026-01-27T23:16:28"/>
        <d v="2026-01-30T00:12:46"/>
        <d v="2026-02-26T17:40:24"/>
        <d v="2026-02-26T18:09:56"/>
        <d v="2026-02-26T21:41:18"/>
        <d v="2026-02-27T19:21:42"/>
        <d v="2026-02-28T22:59:52"/>
        <d v="2026-03-01T22:39:43"/>
        <d v="2026-03-01T22:59:14"/>
        <d v="2026-03-05T20:09:58"/>
        <d v="2026-03-06T17:31:24"/>
        <d v="2026-03-06T19:23:03"/>
        <d v="2026-03-06T22:36:52"/>
        <d v="2026-03-06T23:13:23"/>
        <d v="2026-03-07T16:29:33"/>
        <d v="2026-03-07T18:30:06"/>
        <d v="2026-03-14T22:48:14"/>
        <d v="2026-03-21T23:23:13"/>
        <d v="2026-04-03T20:50:17"/>
        <d v="2026-04-03T21:45:21"/>
        <d v="2026-04-09T23:03:25"/>
        <d v="2026-04-09T23:17:34"/>
        <d v="2026-04-10T23:56:53"/>
        <d v="2026-04-11T00:10:04"/>
        <d v="2026-04-12T23:16:27"/>
        <d v="2026-05-09T21:43:09"/>
        <d v="2026-05-09T21:59:14"/>
        <d v="2026-05-10T15:34:12"/>
        <d v="2026-05-13T21:12:28"/>
        <d v="2026-05-14T22:04:43"/>
        <d v="2026-05-15T21:25:56"/>
        <d v="2026-05-31T19:13:09"/>
        <d v="2026-05-31T20:50:01"/>
        <d v="2026-06-18T17:26:04"/>
        <d v="2026-06-18T20:41:24"/>
        <d v="2026-06-18T21:28:51"/>
        <d v="2026-06-19T20:47:21"/>
        <d v="2026-06-19T21:08:09"/>
        <d v="2026-06-20T22:08:31"/>
        <d v="2026-06-20T22:21:30"/>
        <d v="2026-06-21T19:31:30"/>
        <d v="2026-07-17T21:37:20"/>
        <d v="2026-07-25T23:56:10"/>
        <d v="2026-08-17T22:17:01"/>
        <d v="2026-08-17T23:13:48"/>
        <d v="2026-09-11T19:15:55"/>
        <d v="2026-09-16T20:25:46"/>
        <d v="2026-09-24T18:47:57"/>
        <d v="2026-09-24T19:55:03"/>
        <d v="2026-09-25T20:01:08"/>
        <d v="2026-09-26T20:19:20"/>
        <d v="2026-09-26T20:26:59"/>
        <d v="2026-09-26T23:08:04"/>
        <d v="2026-09-27T16:45:55"/>
        <d v="2026-10-03T19:38:31"/>
        <d v="2026-10-03T19:59:26"/>
        <d v="2026-10-03T22:07:28"/>
        <d v="2026-10-03T23:18:03"/>
        <d v="2026-10-04T19:48:01"/>
        <d v="2026-10-04T21:10:17"/>
        <d v="2026-10-16T22:17:10"/>
        <d v="2026-10-16T23:34:02"/>
      </sharedItems>
    </cacheField>
    <cacheField name="session_end" numFmtId="164">
      <sharedItems containsSemiMixedTypes="0" containsNonDate="0" containsDate="1" containsString="0" minDate="2025-10-31T23:45:37" maxDate="2026-10-16T23:41:07"/>
    </cacheField>
    <cacheField name="headshots" numFmtId="0">
      <sharedItems containsSemiMixedTypes="0" containsString="0" containsNumber="1" containsInteger="1" minValue="0" maxValue="85"/>
    </cacheField>
    <cacheField name="kills" numFmtId="0">
      <sharedItems containsSemiMixedTypes="0" containsString="0" containsNumber="1" containsInteger="1" minValue="0" maxValue="123"/>
    </cacheField>
    <cacheField name="deaths" numFmtId="0">
      <sharedItems containsSemiMixedTypes="0" containsString="0" containsNumber="1" containsInteger="1" minValue="0" maxValue="77"/>
    </cacheField>
    <cacheField name="session_duration_min" numFmtId="0">
      <sharedItems containsSemiMixedTypes="0" containsString="0" containsNumber="1" minValue="1.2" maxValue="84.45"/>
    </cacheField>
    <cacheField name="downtime_min" numFmtId="0">
      <sharedItems containsSemiMixedTypes="0" containsString="0" containsNumber="1" minValue="0" maxValue="10.766666666666666"/>
    </cacheField>
    <cacheField name="year" numFmtId="0">
      <sharedItems containsSemiMixedTypes="0" containsString="0" containsNumber="1" containsInteger="1" minValue="2025" maxValue="2026" count="2">
        <n v="2025"/>
        <n v="2026"/>
      </sharedItems>
    </cacheField>
    <cacheField name="month" numFmtId="0">
      <sharedItems containsSemiMixedTypes="0" containsString="0" containsNumber="1" containsInteger="1" minValue="1" maxValue="12"/>
    </cacheField>
    <cacheField name="month_name" numFmtId="0">
      <sharedItems count="12">
        <s v="October"/>
        <s v="November"/>
        <s v="December"/>
        <s v="January"/>
        <s v="February"/>
        <s v="March"/>
        <s v="April"/>
        <s v="May"/>
        <s v="June"/>
        <s v="July"/>
        <s v="August"/>
        <s v="September"/>
      </sharedItems>
    </cacheField>
    <cacheField name="week" numFmtId="0">
      <sharedItems containsSemiMixedTypes="0" containsString="0" containsNumber="1" containsInteger="1" minValue="2" maxValue="53"/>
    </cacheField>
    <cacheField name="day_of_week" numFmtId="0">
      <sharedItems containsSemiMixedTypes="0" containsString="0" containsNumber="1" containsInteger="1" minValue="1" maxValue="7"/>
    </cacheField>
    <cacheField name="day_of_week_name" numFmtId="0">
      <sharedItems/>
    </cacheField>
    <cacheField name="is_weekend" numFmtId="0">
      <sharedItems containsSemiMixedTypes="0" containsString="0" containsNumber="1" containsInteger="1" minValue="0" maxValue="1" count="2">
        <n v="0"/>
        <n v="1"/>
      </sharedItems>
    </cacheField>
    <cacheField name="hour" numFmtId="0">
      <sharedItems containsSemiMixedTypes="0" containsString="0" containsNumber="1" containsInteger="1" minValue="0" maxValue="23"/>
    </cacheField>
    <cacheField name="day_part" numFmtId="0">
      <sharedItems count="4">
        <s v="Evening"/>
        <s v="Night"/>
        <s v="Morning"/>
        <s v="Afternoon"/>
      </sharedItems>
    </cacheField>
    <cacheField name="duration_category" numFmtId="0">
      <sharedItems count="3">
        <s v="Medium"/>
        <s v="Long"/>
        <s v="Short"/>
      </sharedItems>
    </cacheField>
    <cacheField name="session_kdr" numFmtId="0">
      <sharedItems containsSemiMixedTypes="0" containsString="0" containsNumber="1" minValue="0" maxValue="6"/>
    </cacheField>
    <cacheField name="session_hs_pct" numFmtId="0">
      <sharedItems containsSemiMixedTypes="0" containsString="0" containsNumber="1" minValue="0" maxValue="100"/>
    </cacheField>
    <cacheField name="sessions_kills_per_min" numFmtId="0">
      <sharedItems containsSemiMixedTypes="0" containsString="0" containsNumber="1" minValue="0" maxValue="2.6"/>
    </cacheField>
    <cacheField name="session_quality" numFmtId="0">
      <sharedItems count="3">
        <s v="Average"/>
        <s v="Good"/>
        <s v="Poor"/>
      </sharedItems>
    </cacheField>
    <cacheField name="is_poor_session" numFmtId="0">
      <sharedItems containsSemiMixedTypes="0" containsString="0" containsNumber="1" containsInteger="1" minValue="0" maxValue="1"/>
    </cacheField>
    <cacheField name="kdr" numFmtId="0" formula=" SUM(kills) / SUM(deaths)" databaseField="0"/>
    <cacheField name="HS%" numFmtId="0" formula=" SUM(headshots) / SUM(kills)" databaseField="0"/>
    <cacheField name="playtime_hr" numFmtId="0" formula=" SUM(session_duration_min) / 60" databaseField="0"/>
    <cacheField name="Kills_Per_Min" numFmtId="0" formula=" SUM(kills) / SUM(session_duration_min)" databaseField="0"/>
  </cacheFields>
  <extLst>
    <ext xmlns:x14="http://schemas.microsoft.com/office/spreadsheetml/2009/9/main" uri="{725AE2AE-9491-48be-B2B4-4EB974FC3084}">
      <x14:pivotCacheDefinition pivotCacheId="7201699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n v="1"/>
    <x v="0"/>
    <d v="2025-10-31T23:45:37"/>
    <n v="20"/>
    <n v="26"/>
    <n v="19"/>
    <n v="26.483333333333334"/>
    <n v="2.5499999999999998"/>
    <x v="0"/>
    <n v="10"/>
    <x v="0"/>
    <n v="44"/>
    <n v="5"/>
    <s v="Friday"/>
    <x v="0"/>
    <n v="23"/>
    <x v="0"/>
    <x v="0"/>
    <n v="1.37"/>
    <n v="76.92"/>
    <n v="0.98"/>
    <x v="0"/>
    <n v="0"/>
  </r>
  <r>
    <n v="2"/>
    <x v="1"/>
    <d v="2025-11-01T01:43:52"/>
    <n v="61"/>
    <n v="76"/>
    <n v="42"/>
    <n v="52.7"/>
    <n v="0.11666666666666667"/>
    <x v="0"/>
    <n v="11"/>
    <x v="1"/>
    <n v="44"/>
    <n v="6"/>
    <s v="Saturday"/>
    <x v="1"/>
    <n v="0"/>
    <x v="1"/>
    <x v="1"/>
    <n v="1.81"/>
    <n v="80.260000000000005"/>
    <n v="1.44"/>
    <x v="1"/>
    <n v="0"/>
  </r>
  <r>
    <n v="3"/>
    <x v="2"/>
    <d v="2025-11-02T09:27:10"/>
    <n v="2"/>
    <n v="2"/>
    <n v="2"/>
    <n v="3.0166666666666666"/>
    <n v="0"/>
    <x v="0"/>
    <n v="11"/>
    <x v="1"/>
    <n v="45"/>
    <n v="7"/>
    <s v="Sunday"/>
    <x v="1"/>
    <n v="9"/>
    <x v="2"/>
    <x v="2"/>
    <n v="1"/>
    <n v="100"/>
    <n v="0.66"/>
    <x v="2"/>
    <n v="1"/>
  </r>
  <r>
    <n v="4"/>
    <x v="3"/>
    <d v="2025-11-05T15:04:50"/>
    <n v="43"/>
    <n v="53"/>
    <n v="24"/>
    <n v="37.049999999999997"/>
    <n v="0.5"/>
    <x v="0"/>
    <n v="11"/>
    <x v="1"/>
    <n v="45"/>
    <n v="3"/>
    <s v="Wednesday"/>
    <x v="0"/>
    <n v="14"/>
    <x v="3"/>
    <x v="0"/>
    <n v="2.21"/>
    <n v="81.13"/>
    <n v="1.43"/>
    <x v="1"/>
    <n v="0"/>
  </r>
  <r>
    <n v="5"/>
    <x v="4"/>
    <d v="2025-11-05T15:51:25"/>
    <n v="25"/>
    <n v="34"/>
    <n v="33"/>
    <n v="36.133333333333333"/>
    <n v="2.0833333333333335"/>
    <x v="0"/>
    <n v="11"/>
    <x v="1"/>
    <n v="45"/>
    <n v="3"/>
    <s v="Wednesday"/>
    <x v="0"/>
    <n v="15"/>
    <x v="3"/>
    <x v="0"/>
    <n v="1.03"/>
    <n v="73.53"/>
    <n v="0.94"/>
    <x v="2"/>
    <n v="1"/>
  </r>
  <r>
    <n v="6"/>
    <x v="5"/>
    <d v="2025-11-05T22:34:24"/>
    <n v="60"/>
    <n v="80"/>
    <n v="48"/>
    <n v="57.766666666666666"/>
    <n v="0.58333333333333337"/>
    <x v="0"/>
    <n v="11"/>
    <x v="1"/>
    <n v="45"/>
    <n v="3"/>
    <s v="Wednesday"/>
    <x v="0"/>
    <n v="21"/>
    <x v="0"/>
    <x v="1"/>
    <n v="1.67"/>
    <n v="75"/>
    <n v="1.38"/>
    <x v="0"/>
    <n v="0"/>
  </r>
  <r>
    <n v="7"/>
    <x v="6"/>
    <d v="2025-11-20T23:23:31"/>
    <n v="0"/>
    <n v="0"/>
    <n v="1"/>
    <n v="3.65"/>
    <n v="0"/>
    <x v="0"/>
    <n v="11"/>
    <x v="1"/>
    <n v="47"/>
    <n v="4"/>
    <s v="Thursday"/>
    <x v="0"/>
    <n v="23"/>
    <x v="0"/>
    <x v="2"/>
    <n v="0"/>
    <n v="0"/>
    <n v="0"/>
    <x v="2"/>
    <n v="1"/>
  </r>
  <r>
    <n v="8"/>
    <x v="7"/>
    <d v="2025-11-20T23:32:41"/>
    <n v="2"/>
    <n v="2"/>
    <n v="2"/>
    <n v="4.9833333333333334"/>
    <n v="0"/>
    <x v="0"/>
    <n v="11"/>
    <x v="1"/>
    <n v="47"/>
    <n v="4"/>
    <s v="Thursday"/>
    <x v="0"/>
    <n v="23"/>
    <x v="0"/>
    <x v="2"/>
    <n v="1"/>
    <n v="100"/>
    <n v="0.4"/>
    <x v="2"/>
    <n v="1"/>
  </r>
  <r>
    <n v="9"/>
    <x v="8"/>
    <d v="2025-11-22T23:45:43"/>
    <n v="36"/>
    <n v="53"/>
    <n v="43"/>
    <n v="47.866666666666667"/>
    <n v="0.11666666666666667"/>
    <x v="0"/>
    <n v="11"/>
    <x v="1"/>
    <n v="47"/>
    <n v="6"/>
    <s v="Saturday"/>
    <x v="1"/>
    <n v="22"/>
    <x v="0"/>
    <x v="1"/>
    <n v="1.23"/>
    <n v="67.92"/>
    <n v="1.1100000000000001"/>
    <x v="0"/>
    <n v="0"/>
  </r>
  <r>
    <n v="10"/>
    <x v="9"/>
    <d v="2025-11-25T22:20:04"/>
    <n v="2"/>
    <n v="2"/>
    <n v="0"/>
    <n v="3.0333333333333332"/>
    <n v="0"/>
    <x v="0"/>
    <n v="11"/>
    <x v="1"/>
    <n v="48"/>
    <n v="2"/>
    <s v="Tuesday"/>
    <x v="0"/>
    <n v="22"/>
    <x v="0"/>
    <x v="2"/>
    <n v="0"/>
    <n v="100"/>
    <n v="0.66"/>
    <x v="2"/>
    <n v="1"/>
  </r>
  <r>
    <n v="11"/>
    <x v="10"/>
    <d v="2025-11-26T17:01:19"/>
    <n v="16"/>
    <n v="22"/>
    <n v="14"/>
    <n v="18.399999999999999"/>
    <n v="0"/>
    <x v="0"/>
    <n v="11"/>
    <x v="1"/>
    <n v="48"/>
    <n v="3"/>
    <s v="Wednesday"/>
    <x v="0"/>
    <n v="16"/>
    <x v="3"/>
    <x v="0"/>
    <n v="1.57"/>
    <n v="72.73"/>
    <n v="1.2"/>
    <x v="0"/>
    <n v="0"/>
  </r>
  <r>
    <n v="12"/>
    <x v="11"/>
    <d v="2025-11-26T22:04:40"/>
    <n v="61"/>
    <n v="77"/>
    <n v="61"/>
    <n v="61.7"/>
    <n v="0"/>
    <x v="0"/>
    <n v="11"/>
    <x v="1"/>
    <n v="48"/>
    <n v="3"/>
    <s v="Wednesday"/>
    <x v="0"/>
    <n v="21"/>
    <x v="0"/>
    <x v="1"/>
    <n v="1.26"/>
    <n v="79.22"/>
    <n v="1.25"/>
    <x v="0"/>
    <n v="0"/>
  </r>
  <r>
    <n v="13"/>
    <x v="12"/>
    <d v="2025-11-27T01:18:52"/>
    <n v="6"/>
    <n v="6"/>
    <n v="6"/>
    <n v="6.3"/>
    <n v="0"/>
    <x v="0"/>
    <n v="11"/>
    <x v="1"/>
    <n v="48"/>
    <n v="4"/>
    <s v="Thursday"/>
    <x v="0"/>
    <n v="1"/>
    <x v="1"/>
    <x v="2"/>
    <n v="1"/>
    <n v="100"/>
    <n v="0.95"/>
    <x v="2"/>
    <n v="1"/>
  </r>
  <r>
    <n v="14"/>
    <x v="13"/>
    <d v="2025-11-29T00:21:32"/>
    <n v="32"/>
    <n v="42"/>
    <n v="13"/>
    <n v="29.8"/>
    <n v="0.2"/>
    <x v="0"/>
    <n v="11"/>
    <x v="1"/>
    <n v="48"/>
    <n v="5"/>
    <s v="Friday"/>
    <x v="0"/>
    <n v="23"/>
    <x v="0"/>
    <x v="0"/>
    <n v="3.23"/>
    <n v="76.19"/>
    <n v="1.41"/>
    <x v="1"/>
    <n v="0"/>
  </r>
  <r>
    <n v="15"/>
    <x v="14"/>
    <d v="2025-11-29T17:55:11"/>
    <n v="15"/>
    <n v="16"/>
    <n v="12"/>
    <n v="15.666666666666666"/>
    <n v="0.15"/>
    <x v="0"/>
    <n v="11"/>
    <x v="1"/>
    <n v="48"/>
    <n v="6"/>
    <s v="Saturday"/>
    <x v="1"/>
    <n v="17"/>
    <x v="3"/>
    <x v="0"/>
    <n v="1.33"/>
    <n v="93.75"/>
    <n v="1.02"/>
    <x v="0"/>
    <n v="0"/>
  </r>
  <r>
    <n v="16"/>
    <x v="15"/>
    <d v="2025-11-29T20:11:41"/>
    <n v="24"/>
    <n v="31"/>
    <n v="17"/>
    <n v="27.216666666666665"/>
    <n v="3.15"/>
    <x v="0"/>
    <n v="11"/>
    <x v="1"/>
    <n v="48"/>
    <n v="6"/>
    <s v="Saturday"/>
    <x v="1"/>
    <n v="19"/>
    <x v="0"/>
    <x v="0"/>
    <n v="1.82"/>
    <n v="77.42"/>
    <n v="1.1399999999999999"/>
    <x v="1"/>
    <n v="0"/>
  </r>
  <r>
    <n v="17"/>
    <x v="16"/>
    <d v="2025-11-29T20:23:53"/>
    <n v="6"/>
    <n v="8"/>
    <n v="5"/>
    <n v="7.95"/>
    <n v="0.21666666666666667"/>
    <x v="0"/>
    <n v="11"/>
    <x v="1"/>
    <n v="48"/>
    <n v="6"/>
    <s v="Saturday"/>
    <x v="1"/>
    <n v="20"/>
    <x v="0"/>
    <x v="2"/>
    <n v="1.6"/>
    <n v="75"/>
    <n v="1.01"/>
    <x v="0"/>
    <n v="0"/>
  </r>
  <r>
    <n v="18"/>
    <x v="17"/>
    <d v="2025-11-30T18:29:28"/>
    <n v="38"/>
    <n v="46"/>
    <n v="20"/>
    <n v="30.15"/>
    <n v="0"/>
    <x v="0"/>
    <n v="11"/>
    <x v="1"/>
    <n v="49"/>
    <n v="7"/>
    <s v="Sunday"/>
    <x v="1"/>
    <n v="17"/>
    <x v="3"/>
    <x v="0"/>
    <n v="2.2999999999999998"/>
    <n v="82.61"/>
    <n v="1.53"/>
    <x v="1"/>
    <n v="0"/>
  </r>
  <r>
    <n v="19"/>
    <x v="18"/>
    <d v="2025-11-30T23:43:16"/>
    <n v="10"/>
    <n v="13"/>
    <n v="4"/>
    <n v="8.9"/>
    <n v="0.21666666666666667"/>
    <x v="0"/>
    <n v="11"/>
    <x v="1"/>
    <n v="49"/>
    <n v="7"/>
    <s v="Sunday"/>
    <x v="1"/>
    <n v="23"/>
    <x v="0"/>
    <x v="2"/>
    <n v="3.25"/>
    <n v="76.92"/>
    <n v="1.46"/>
    <x v="1"/>
    <n v="0"/>
  </r>
  <r>
    <n v="20"/>
    <x v="19"/>
    <d v="2025-12-01T00:43:22"/>
    <n v="50"/>
    <n v="70"/>
    <n v="31"/>
    <n v="50.833333333333329"/>
    <n v="0.15"/>
    <x v="0"/>
    <n v="11"/>
    <x v="1"/>
    <n v="49"/>
    <n v="7"/>
    <s v="Sunday"/>
    <x v="1"/>
    <n v="23"/>
    <x v="0"/>
    <x v="1"/>
    <n v="2.2599999999999998"/>
    <n v="71.430000000000007"/>
    <n v="1.38"/>
    <x v="1"/>
    <n v="0"/>
  </r>
  <r>
    <n v="21"/>
    <x v="20"/>
    <d v="2025-12-01T19:37:52"/>
    <n v="64"/>
    <n v="75"/>
    <n v="60"/>
    <n v="67.016666666666666"/>
    <n v="4.3499999999999996"/>
    <x v="0"/>
    <n v="12"/>
    <x v="2"/>
    <n v="49"/>
    <n v="1"/>
    <s v="Monday"/>
    <x v="0"/>
    <n v="18"/>
    <x v="0"/>
    <x v="1"/>
    <n v="1.25"/>
    <n v="85.33"/>
    <n v="1.1200000000000001"/>
    <x v="0"/>
    <n v="0"/>
  </r>
  <r>
    <n v="22"/>
    <x v="21"/>
    <d v="2025-12-02T19:03:41"/>
    <n v="28"/>
    <n v="35"/>
    <n v="21"/>
    <n v="31.383333333333336"/>
    <n v="0.8833333333333333"/>
    <x v="0"/>
    <n v="12"/>
    <x v="2"/>
    <n v="49"/>
    <n v="2"/>
    <s v="Tuesday"/>
    <x v="0"/>
    <n v="18"/>
    <x v="0"/>
    <x v="0"/>
    <n v="1.67"/>
    <n v="80"/>
    <n v="1.1200000000000001"/>
    <x v="0"/>
    <n v="0"/>
  </r>
  <r>
    <n v="23"/>
    <x v="22"/>
    <d v="2025-12-04T21:44:47"/>
    <n v="15"/>
    <n v="18"/>
    <n v="3"/>
    <n v="9.5166666666666675"/>
    <n v="0.2"/>
    <x v="0"/>
    <n v="12"/>
    <x v="2"/>
    <n v="49"/>
    <n v="4"/>
    <s v="Thursday"/>
    <x v="0"/>
    <n v="21"/>
    <x v="0"/>
    <x v="2"/>
    <n v="6"/>
    <n v="83.33"/>
    <n v="1.89"/>
    <x v="1"/>
    <n v="0"/>
  </r>
  <r>
    <n v="24"/>
    <x v="23"/>
    <d v="2025-12-05T17:59:41"/>
    <n v="16"/>
    <n v="18"/>
    <n v="9"/>
    <n v="14.283333333333333"/>
    <n v="0"/>
    <x v="0"/>
    <n v="12"/>
    <x v="2"/>
    <n v="49"/>
    <n v="5"/>
    <s v="Friday"/>
    <x v="0"/>
    <n v="17"/>
    <x v="3"/>
    <x v="2"/>
    <n v="2"/>
    <n v="88.89"/>
    <n v="1.26"/>
    <x v="1"/>
    <n v="0"/>
  </r>
  <r>
    <n v="25"/>
    <x v="24"/>
    <d v="2025-12-05T19:47:16"/>
    <n v="19"/>
    <n v="33"/>
    <n v="20"/>
    <n v="30.716666666666665"/>
    <n v="0"/>
    <x v="0"/>
    <n v="12"/>
    <x v="2"/>
    <n v="49"/>
    <n v="5"/>
    <s v="Friday"/>
    <x v="0"/>
    <n v="19"/>
    <x v="0"/>
    <x v="0"/>
    <n v="1.65"/>
    <n v="57.58"/>
    <n v="1.07"/>
    <x v="0"/>
    <n v="0"/>
  </r>
  <r>
    <n v="26"/>
    <x v="25"/>
    <d v="2025-12-06T00:54:21"/>
    <n v="20"/>
    <n v="22"/>
    <n v="14"/>
    <n v="16.133333333333333"/>
    <n v="3.4"/>
    <x v="0"/>
    <n v="12"/>
    <x v="2"/>
    <n v="49"/>
    <n v="6"/>
    <s v="Saturday"/>
    <x v="1"/>
    <n v="0"/>
    <x v="1"/>
    <x v="0"/>
    <n v="1.57"/>
    <n v="90.91"/>
    <n v="1.36"/>
    <x v="0"/>
    <n v="0"/>
  </r>
  <r>
    <n v="27"/>
    <x v="26"/>
    <d v="2025-12-07T00:25:59"/>
    <n v="13"/>
    <n v="15"/>
    <n v="8"/>
    <n v="13.033333333333333"/>
    <n v="0"/>
    <x v="0"/>
    <n v="12"/>
    <x v="2"/>
    <n v="50"/>
    <n v="7"/>
    <s v="Sunday"/>
    <x v="1"/>
    <n v="0"/>
    <x v="1"/>
    <x v="2"/>
    <n v="1.88"/>
    <n v="86.67"/>
    <n v="1.1499999999999999"/>
    <x v="1"/>
    <n v="0"/>
  </r>
  <r>
    <n v="28"/>
    <x v="27"/>
    <d v="2025-12-07T01:57:26"/>
    <n v="11"/>
    <n v="16"/>
    <n v="26"/>
    <n v="24.433333333333334"/>
    <n v="0.15"/>
    <x v="0"/>
    <n v="12"/>
    <x v="2"/>
    <n v="50"/>
    <n v="7"/>
    <s v="Sunday"/>
    <x v="1"/>
    <n v="1"/>
    <x v="1"/>
    <x v="0"/>
    <n v="0.62"/>
    <n v="68.75"/>
    <n v="0.65"/>
    <x v="2"/>
    <n v="1"/>
  </r>
  <r>
    <n v="29"/>
    <x v="28"/>
    <d v="2025-12-07T20:49:08"/>
    <n v="77"/>
    <n v="103"/>
    <n v="55"/>
    <n v="69.066666666666663"/>
    <n v="0"/>
    <x v="0"/>
    <n v="12"/>
    <x v="2"/>
    <n v="50"/>
    <n v="7"/>
    <s v="Sunday"/>
    <x v="1"/>
    <n v="19"/>
    <x v="0"/>
    <x v="1"/>
    <n v="1.87"/>
    <n v="74.760000000000005"/>
    <n v="1.49"/>
    <x v="1"/>
    <n v="0"/>
  </r>
  <r>
    <n v="30"/>
    <x v="29"/>
    <d v="2025-12-07T23:24:02"/>
    <n v="7"/>
    <n v="11"/>
    <n v="12"/>
    <n v="15.616666666666667"/>
    <n v="0"/>
    <x v="0"/>
    <n v="12"/>
    <x v="2"/>
    <n v="50"/>
    <n v="7"/>
    <s v="Sunday"/>
    <x v="1"/>
    <n v="23"/>
    <x v="0"/>
    <x v="0"/>
    <n v="0.92"/>
    <n v="63.64"/>
    <n v="0.7"/>
    <x v="2"/>
    <n v="1"/>
  </r>
  <r>
    <n v="31"/>
    <x v="30"/>
    <d v="2025-12-10T21:34:52"/>
    <n v="5"/>
    <n v="6"/>
    <n v="12"/>
    <n v="14.466666666666669"/>
    <n v="8.3333333333333329E-2"/>
    <x v="0"/>
    <n v="12"/>
    <x v="2"/>
    <n v="50"/>
    <n v="3"/>
    <s v="Wednesday"/>
    <x v="0"/>
    <n v="21"/>
    <x v="0"/>
    <x v="2"/>
    <n v="0.5"/>
    <n v="83.33"/>
    <n v="0.41"/>
    <x v="2"/>
    <n v="1"/>
  </r>
  <r>
    <n v="32"/>
    <x v="31"/>
    <d v="2025-12-12T18:22:32"/>
    <n v="5"/>
    <n v="6"/>
    <n v="4"/>
    <n v="6.416666666666667"/>
    <n v="0"/>
    <x v="0"/>
    <n v="12"/>
    <x v="2"/>
    <n v="50"/>
    <n v="5"/>
    <s v="Friday"/>
    <x v="0"/>
    <n v="18"/>
    <x v="0"/>
    <x v="2"/>
    <n v="1.5"/>
    <n v="83.33"/>
    <n v="0.94"/>
    <x v="0"/>
    <n v="0"/>
  </r>
  <r>
    <n v="33"/>
    <x v="32"/>
    <d v="2025-12-13T01:07:19"/>
    <n v="54"/>
    <n v="71"/>
    <n v="36"/>
    <n v="50.516666666666666"/>
    <n v="1.6666666666666665"/>
    <x v="0"/>
    <n v="12"/>
    <x v="2"/>
    <n v="50"/>
    <n v="6"/>
    <s v="Saturday"/>
    <x v="1"/>
    <n v="0"/>
    <x v="1"/>
    <x v="1"/>
    <n v="1.97"/>
    <n v="76.06"/>
    <n v="1.41"/>
    <x v="1"/>
    <n v="0"/>
  </r>
  <r>
    <n v="34"/>
    <x v="33"/>
    <d v="2025-12-13T20:31:50"/>
    <n v="63"/>
    <n v="84"/>
    <n v="60"/>
    <n v="75.916666666666671"/>
    <n v="1.5"/>
    <x v="0"/>
    <n v="12"/>
    <x v="2"/>
    <n v="50"/>
    <n v="6"/>
    <s v="Saturday"/>
    <x v="1"/>
    <n v="19"/>
    <x v="0"/>
    <x v="1"/>
    <n v="1.4"/>
    <n v="75"/>
    <n v="1.1100000000000001"/>
    <x v="0"/>
    <n v="0"/>
  </r>
  <r>
    <n v="36"/>
    <x v="34"/>
    <d v="2025-12-16T01:40:18"/>
    <n v="22"/>
    <n v="24"/>
    <n v="6"/>
    <n v="14.1"/>
    <n v="0"/>
    <x v="0"/>
    <n v="12"/>
    <x v="2"/>
    <n v="51"/>
    <n v="2"/>
    <s v="Tuesday"/>
    <x v="0"/>
    <n v="1"/>
    <x v="1"/>
    <x v="2"/>
    <n v="4"/>
    <n v="91.67"/>
    <n v="1.7"/>
    <x v="1"/>
    <n v="0"/>
  </r>
  <r>
    <n v="37"/>
    <x v="35"/>
    <d v="2025-12-18T22:56:06"/>
    <n v="22"/>
    <n v="36"/>
    <n v="30"/>
    <n v="33.31666666666667"/>
    <n v="0"/>
    <x v="0"/>
    <n v="12"/>
    <x v="2"/>
    <n v="51"/>
    <n v="4"/>
    <s v="Thursday"/>
    <x v="0"/>
    <n v="22"/>
    <x v="0"/>
    <x v="0"/>
    <n v="1.2"/>
    <n v="61.11"/>
    <n v="1.08"/>
    <x v="0"/>
    <n v="0"/>
  </r>
  <r>
    <n v="39"/>
    <x v="36"/>
    <d v="2025-12-18T23:53:32"/>
    <n v="27"/>
    <n v="38"/>
    <n v="25"/>
    <n v="34.15"/>
    <n v="0.18333333333333332"/>
    <x v="0"/>
    <n v="12"/>
    <x v="2"/>
    <n v="51"/>
    <n v="4"/>
    <s v="Thursday"/>
    <x v="0"/>
    <n v="23"/>
    <x v="0"/>
    <x v="0"/>
    <n v="1.52"/>
    <n v="71.05"/>
    <n v="1.1100000000000001"/>
    <x v="0"/>
    <n v="0"/>
  </r>
  <r>
    <n v="40"/>
    <x v="37"/>
    <d v="2025-12-19T00:14:44"/>
    <n v="6"/>
    <n v="9"/>
    <n v="7"/>
    <n v="10.833333333333334"/>
    <n v="0"/>
    <x v="0"/>
    <n v="12"/>
    <x v="2"/>
    <n v="51"/>
    <n v="5"/>
    <s v="Friday"/>
    <x v="0"/>
    <n v="0"/>
    <x v="1"/>
    <x v="2"/>
    <n v="1.29"/>
    <n v="66.67"/>
    <n v="0.83"/>
    <x v="0"/>
    <n v="0"/>
  </r>
  <r>
    <n v="41"/>
    <x v="38"/>
    <d v="2025-12-19T22:31:27"/>
    <n v="16"/>
    <n v="25"/>
    <n v="21"/>
    <n v="20.5"/>
    <n v="0"/>
    <x v="0"/>
    <n v="12"/>
    <x v="2"/>
    <n v="51"/>
    <n v="5"/>
    <s v="Friday"/>
    <x v="0"/>
    <n v="22"/>
    <x v="0"/>
    <x v="0"/>
    <n v="1.19"/>
    <n v="64"/>
    <n v="1.22"/>
    <x v="2"/>
    <n v="1"/>
  </r>
  <r>
    <n v="42"/>
    <x v="39"/>
    <d v="2025-12-20T00:11:48"/>
    <n v="7"/>
    <n v="9"/>
    <n v="6"/>
    <n v="7.4"/>
    <n v="0"/>
    <x v="0"/>
    <n v="12"/>
    <x v="2"/>
    <n v="51"/>
    <n v="6"/>
    <s v="Saturday"/>
    <x v="1"/>
    <n v="0"/>
    <x v="1"/>
    <x v="2"/>
    <n v="1.5"/>
    <n v="77.78"/>
    <n v="1.22"/>
    <x v="0"/>
    <n v="0"/>
  </r>
  <r>
    <n v="43"/>
    <x v="40"/>
    <d v="2025-12-28T01:10:42"/>
    <n v="30"/>
    <n v="47"/>
    <n v="29"/>
    <n v="37.716666666666669"/>
    <n v="0"/>
    <x v="0"/>
    <n v="12"/>
    <x v="2"/>
    <n v="53"/>
    <n v="7"/>
    <s v="Sunday"/>
    <x v="1"/>
    <n v="0"/>
    <x v="1"/>
    <x v="0"/>
    <n v="1.62"/>
    <n v="63.83"/>
    <n v="1.25"/>
    <x v="0"/>
    <n v="0"/>
  </r>
  <r>
    <n v="44"/>
    <x v="41"/>
    <d v="2025-12-28T01:25:22"/>
    <n v="4"/>
    <n v="8"/>
    <n v="11"/>
    <n v="9.6333333333333329"/>
    <n v="0"/>
    <x v="0"/>
    <n v="12"/>
    <x v="2"/>
    <n v="53"/>
    <n v="7"/>
    <s v="Sunday"/>
    <x v="1"/>
    <n v="1"/>
    <x v="1"/>
    <x v="2"/>
    <n v="0.73"/>
    <n v="50"/>
    <n v="0.83"/>
    <x v="2"/>
    <n v="1"/>
  </r>
  <r>
    <n v="45"/>
    <x v="42"/>
    <d v="2025-12-29T09:03:48"/>
    <n v="4"/>
    <n v="4"/>
    <n v="4"/>
    <n v="6.0166666666666666"/>
    <n v="0"/>
    <x v="0"/>
    <n v="12"/>
    <x v="2"/>
    <n v="53"/>
    <n v="1"/>
    <s v="Monday"/>
    <x v="0"/>
    <n v="8"/>
    <x v="2"/>
    <x v="2"/>
    <n v="1"/>
    <n v="100"/>
    <n v="0.66"/>
    <x v="2"/>
    <n v="1"/>
  </r>
  <r>
    <n v="46"/>
    <x v="43"/>
    <d v="2025-12-30T00:07:49"/>
    <n v="14"/>
    <n v="17"/>
    <n v="13"/>
    <n v="16.3"/>
    <n v="0"/>
    <x v="0"/>
    <n v="12"/>
    <x v="2"/>
    <n v="53"/>
    <n v="1"/>
    <s v="Monday"/>
    <x v="0"/>
    <n v="23"/>
    <x v="0"/>
    <x v="0"/>
    <n v="1.31"/>
    <n v="82.35"/>
    <n v="1.04"/>
    <x v="0"/>
    <n v="0"/>
  </r>
  <r>
    <n v="47"/>
    <x v="44"/>
    <d v="2026-01-10T00:50:37"/>
    <n v="2"/>
    <n v="2"/>
    <n v="1"/>
    <n v="1.6666666666666667"/>
    <n v="0"/>
    <x v="1"/>
    <n v="1"/>
    <x v="3"/>
    <n v="2"/>
    <n v="6"/>
    <s v="Saturday"/>
    <x v="1"/>
    <n v="0"/>
    <x v="1"/>
    <x v="2"/>
    <n v="2"/>
    <n v="100"/>
    <n v="1.2"/>
    <x v="1"/>
    <n v="0"/>
  </r>
  <r>
    <n v="48"/>
    <x v="45"/>
    <d v="2026-01-10T18:40:52"/>
    <n v="54"/>
    <n v="71"/>
    <n v="22"/>
    <n v="41.716666666666669"/>
    <n v="0"/>
    <x v="1"/>
    <n v="1"/>
    <x v="3"/>
    <n v="2"/>
    <n v="6"/>
    <s v="Saturday"/>
    <x v="1"/>
    <n v="17"/>
    <x v="3"/>
    <x v="0"/>
    <n v="3.23"/>
    <n v="76.06"/>
    <n v="1.7"/>
    <x v="1"/>
    <n v="0"/>
  </r>
  <r>
    <n v="49"/>
    <x v="46"/>
    <d v="2026-01-10T19:20:20"/>
    <n v="27"/>
    <n v="34"/>
    <n v="21"/>
    <n v="27.65"/>
    <n v="0"/>
    <x v="1"/>
    <n v="1"/>
    <x v="3"/>
    <n v="2"/>
    <n v="6"/>
    <s v="Saturday"/>
    <x v="1"/>
    <n v="18"/>
    <x v="0"/>
    <x v="0"/>
    <n v="1.62"/>
    <n v="79.41"/>
    <n v="1.23"/>
    <x v="0"/>
    <n v="0"/>
  </r>
  <r>
    <n v="50"/>
    <x v="47"/>
    <d v="2026-01-25T22:30:01"/>
    <n v="8"/>
    <n v="9"/>
    <n v="4"/>
    <n v="3.4666666666666668"/>
    <n v="0"/>
    <x v="1"/>
    <n v="1"/>
    <x v="3"/>
    <n v="5"/>
    <n v="7"/>
    <s v="Sunday"/>
    <x v="1"/>
    <n v="22"/>
    <x v="0"/>
    <x v="2"/>
    <n v="2.25"/>
    <n v="88.89"/>
    <n v="2.6"/>
    <x v="1"/>
    <n v="0"/>
  </r>
  <r>
    <n v="51"/>
    <x v="48"/>
    <d v="2026-01-27T23:28:21"/>
    <n v="7"/>
    <n v="11"/>
    <n v="3"/>
    <n v="11.783333333333333"/>
    <n v="0.1"/>
    <x v="1"/>
    <n v="1"/>
    <x v="3"/>
    <n v="5"/>
    <n v="2"/>
    <s v="Tuesday"/>
    <x v="0"/>
    <n v="23"/>
    <x v="0"/>
    <x v="2"/>
    <n v="3.67"/>
    <n v="63.64"/>
    <n v="0.93"/>
    <x v="0"/>
    <n v="0"/>
  </r>
  <r>
    <n v="52"/>
    <x v="49"/>
    <d v="2026-01-30T00:19:24"/>
    <n v="4"/>
    <n v="5"/>
    <n v="6"/>
    <n v="6.6333333333333337"/>
    <n v="0"/>
    <x v="1"/>
    <n v="1"/>
    <x v="3"/>
    <n v="5"/>
    <n v="5"/>
    <s v="Friday"/>
    <x v="0"/>
    <n v="0"/>
    <x v="1"/>
    <x v="2"/>
    <n v="0.83"/>
    <n v="80"/>
    <n v="0.75"/>
    <x v="2"/>
    <n v="1"/>
  </r>
  <r>
    <n v="53"/>
    <x v="50"/>
    <d v="2026-02-26T18:03:58"/>
    <n v="24"/>
    <n v="28"/>
    <n v="13"/>
    <n v="23.433333333333334"/>
    <n v="0.13333333333333333"/>
    <x v="1"/>
    <n v="2"/>
    <x v="4"/>
    <n v="9"/>
    <n v="4"/>
    <s v="Thursday"/>
    <x v="0"/>
    <n v="17"/>
    <x v="3"/>
    <x v="0"/>
    <n v="2.15"/>
    <n v="85.71"/>
    <n v="1.19"/>
    <x v="1"/>
    <n v="0"/>
  </r>
  <r>
    <n v="54"/>
    <x v="51"/>
    <d v="2026-02-26T18:15:34"/>
    <n v="6"/>
    <n v="7"/>
    <n v="4"/>
    <n v="5.6333333333333337"/>
    <n v="0"/>
    <x v="1"/>
    <n v="2"/>
    <x v="4"/>
    <n v="9"/>
    <n v="4"/>
    <s v="Thursday"/>
    <x v="0"/>
    <n v="18"/>
    <x v="0"/>
    <x v="2"/>
    <n v="1.75"/>
    <n v="85.71"/>
    <n v="1.24"/>
    <x v="0"/>
    <n v="0"/>
  </r>
  <r>
    <n v="55"/>
    <x v="52"/>
    <d v="2026-02-26T21:43:35"/>
    <n v="0"/>
    <n v="0"/>
    <n v="1"/>
    <n v="2.2833333333333332"/>
    <n v="0"/>
    <x v="1"/>
    <n v="2"/>
    <x v="4"/>
    <n v="9"/>
    <n v="4"/>
    <s v="Thursday"/>
    <x v="0"/>
    <n v="21"/>
    <x v="0"/>
    <x v="2"/>
    <n v="0"/>
    <n v="0"/>
    <n v="0"/>
    <x v="2"/>
    <n v="1"/>
  </r>
  <r>
    <n v="56"/>
    <x v="53"/>
    <d v="2026-02-27T19:35:36"/>
    <n v="13"/>
    <n v="16"/>
    <n v="10"/>
    <n v="13.9"/>
    <n v="0"/>
    <x v="1"/>
    <n v="2"/>
    <x v="4"/>
    <n v="9"/>
    <n v="5"/>
    <s v="Friday"/>
    <x v="0"/>
    <n v="19"/>
    <x v="0"/>
    <x v="2"/>
    <n v="1.6"/>
    <n v="81.25"/>
    <n v="1.1499999999999999"/>
    <x v="0"/>
    <n v="0"/>
  </r>
  <r>
    <n v="57"/>
    <x v="54"/>
    <d v="2026-02-28T23:37:16"/>
    <n v="35"/>
    <n v="44"/>
    <n v="22"/>
    <n v="37.283333333333331"/>
    <n v="0.11666666666666667"/>
    <x v="1"/>
    <n v="2"/>
    <x v="4"/>
    <n v="9"/>
    <n v="6"/>
    <s v="Saturday"/>
    <x v="1"/>
    <n v="22"/>
    <x v="0"/>
    <x v="0"/>
    <n v="2"/>
    <n v="79.55"/>
    <n v="1.18"/>
    <x v="1"/>
    <n v="0"/>
  </r>
  <r>
    <n v="58"/>
    <x v="55"/>
    <d v="2026-03-01T22:55:06"/>
    <n v="14"/>
    <n v="16"/>
    <n v="13"/>
    <n v="15.2"/>
    <n v="0.18333333333333332"/>
    <x v="1"/>
    <n v="3"/>
    <x v="5"/>
    <n v="10"/>
    <n v="7"/>
    <s v="Sunday"/>
    <x v="1"/>
    <n v="22"/>
    <x v="0"/>
    <x v="0"/>
    <n v="1.23"/>
    <n v="87.5"/>
    <n v="1.05"/>
    <x v="0"/>
    <n v="0"/>
  </r>
  <r>
    <n v="59"/>
    <x v="56"/>
    <d v="2026-03-01T23:16:01"/>
    <n v="9"/>
    <n v="10"/>
    <n v="9"/>
    <n v="14.133333333333333"/>
    <n v="2.65"/>
    <x v="1"/>
    <n v="3"/>
    <x v="5"/>
    <n v="10"/>
    <n v="7"/>
    <s v="Sunday"/>
    <x v="1"/>
    <n v="22"/>
    <x v="0"/>
    <x v="2"/>
    <n v="1.1100000000000001"/>
    <n v="90"/>
    <n v="0.71"/>
    <x v="2"/>
    <n v="1"/>
  </r>
  <r>
    <n v="60"/>
    <x v="57"/>
    <d v="2026-03-05T20:56:27"/>
    <n v="38"/>
    <n v="46"/>
    <n v="39"/>
    <n v="46.3"/>
    <n v="0.18333333333333332"/>
    <x v="1"/>
    <n v="3"/>
    <x v="5"/>
    <n v="10"/>
    <n v="4"/>
    <s v="Thursday"/>
    <x v="0"/>
    <n v="20"/>
    <x v="0"/>
    <x v="1"/>
    <n v="1.18"/>
    <n v="82.61"/>
    <n v="0.99"/>
    <x v="2"/>
    <n v="1"/>
  </r>
  <r>
    <n v="61"/>
    <x v="58"/>
    <d v="2026-03-06T18:55:59"/>
    <n v="85"/>
    <n v="123"/>
    <n v="77"/>
    <n v="84.45"/>
    <n v="0.13333333333333333"/>
    <x v="1"/>
    <n v="3"/>
    <x v="5"/>
    <n v="10"/>
    <n v="5"/>
    <s v="Friday"/>
    <x v="0"/>
    <n v="17"/>
    <x v="3"/>
    <x v="1"/>
    <n v="1.6"/>
    <n v="69.11"/>
    <n v="1.46"/>
    <x v="0"/>
    <n v="0"/>
  </r>
  <r>
    <n v="62"/>
    <x v="59"/>
    <d v="2026-03-06T20:23:58"/>
    <n v="53"/>
    <n v="68"/>
    <n v="49"/>
    <n v="57.533333333333331"/>
    <n v="3.3833333333333333"/>
    <x v="1"/>
    <n v="3"/>
    <x v="5"/>
    <n v="10"/>
    <n v="5"/>
    <s v="Friday"/>
    <x v="0"/>
    <n v="19"/>
    <x v="0"/>
    <x v="1"/>
    <n v="1.39"/>
    <n v="77.94"/>
    <n v="1.18"/>
    <x v="0"/>
    <n v="0"/>
  </r>
  <r>
    <n v="63"/>
    <x v="60"/>
    <d v="2026-03-06T23:03:45"/>
    <n v="20"/>
    <n v="25"/>
    <n v="23"/>
    <n v="26.883333333333333"/>
    <n v="0"/>
    <x v="1"/>
    <n v="3"/>
    <x v="5"/>
    <n v="10"/>
    <n v="5"/>
    <s v="Friday"/>
    <x v="0"/>
    <n v="22"/>
    <x v="0"/>
    <x v="0"/>
    <n v="1.0900000000000001"/>
    <n v="80"/>
    <n v="0.93"/>
    <x v="2"/>
    <n v="1"/>
  </r>
  <r>
    <n v="64"/>
    <x v="61"/>
    <d v="2026-03-06T23:48:07"/>
    <n v="43"/>
    <n v="56"/>
    <n v="23"/>
    <n v="34.599999999999994"/>
    <n v="0.13333333333333333"/>
    <x v="1"/>
    <n v="3"/>
    <x v="5"/>
    <n v="10"/>
    <n v="5"/>
    <s v="Friday"/>
    <x v="0"/>
    <n v="23"/>
    <x v="0"/>
    <x v="0"/>
    <n v="2.4300000000000002"/>
    <n v="76.790000000000006"/>
    <n v="1.62"/>
    <x v="1"/>
    <n v="0"/>
  </r>
  <r>
    <n v="65"/>
    <x v="62"/>
    <d v="2026-03-07T16:31:45"/>
    <n v="0"/>
    <n v="0"/>
    <n v="1"/>
    <n v="2.2000000000000002"/>
    <n v="0"/>
    <x v="1"/>
    <n v="3"/>
    <x v="5"/>
    <n v="10"/>
    <n v="6"/>
    <s v="Saturday"/>
    <x v="1"/>
    <n v="16"/>
    <x v="3"/>
    <x v="2"/>
    <n v="0"/>
    <n v="0"/>
    <n v="0"/>
    <x v="2"/>
    <n v="1"/>
  </r>
  <r>
    <n v="66"/>
    <x v="63"/>
    <d v="2026-03-07T18:31:55"/>
    <n v="0"/>
    <n v="0"/>
    <n v="2"/>
    <n v="1.8166666666666667"/>
    <n v="0"/>
    <x v="1"/>
    <n v="3"/>
    <x v="5"/>
    <n v="10"/>
    <n v="6"/>
    <s v="Saturday"/>
    <x v="1"/>
    <n v="18"/>
    <x v="0"/>
    <x v="2"/>
    <n v="0"/>
    <n v="0"/>
    <n v="0"/>
    <x v="2"/>
    <n v="1"/>
  </r>
  <r>
    <n v="67"/>
    <x v="64"/>
    <d v="2026-03-14T23:19:38"/>
    <n v="29"/>
    <n v="36"/>
    <n v="21"/>
    <n v="31.233333333333334"/>
    <n v="0.16666666666666666"/>
    <x v="1"/>
    <n v="3"/>
    <x v="5"/>
    <n v="11"/>
    <n v="6"/>
    <s v="Saturday"/>
    <x v="1"/>
    <n v="22"/>
    <x v="0"/>
    <x v="0"/>
    <n v="1.71"/>
    <n v="80.56"/>
    <n v="1.1499999999999999"/>
    <x v="0"/>
    <n v="0"/>
  </r>
  <r>
    <n v="68"/>
    <x v="65"/>
    <d v="2026-03-21T23:49:41"/>
    <n v="21"/>
    <n v="22"/>
    <n v="30"/>
    <n v="26.283333333333331"/>
    <n v="0.18333333333333332"/>
    <x v="1"/>
    <n v="3"/>
    <x v="5"/>
    <n v="12"/>
    <n v="6"/>
    <s v="Saturday"/>
    <x v="1"/>
    <n v="23"/>
    <x v="0"/>
    <x v="0"/>
    <n v="0.73"/>
    <n v="95.45"/>
    <n v="0.84"/>
    <x v="2"/>
    <n v="1"/>
  </r>
  <r>
    <n v="69"/>
    <x v="66"/>
    <d v="2026-04-03T20:59:45"/>
    <n v="5"/>
    <n v="5"/>
    <n v="5"/>
    <n v="9.4666666666666668"/>
    <n v="0"/>
    <x v="1"/>
    <n v="4"/>
    <x v="6"/>
    <n v="14"/>
    <n v="5"/>
    <s v="Friday"/>
    <x v="0"/>
    <n v="20"/>
    <x v="0"/>
    <x v="2"/>
    <n v="1"/>
    <n v="100"/>
    <n v="0.53"/>
    <x v="2"/>
    <n v="1"/>
  </r>
  <r>
    <n v="70"/>
    <x v="67"/>
    <d v="2026-04-03T22:02:59"/>
    <n v="11"/>
    <n v="15"/>
    <n v="14"/>
    <n v="17.633333333333333"/>
    <n v="0"/>
    <x v="1"/>
    <n v="4"/>
    <x v="6"/>
    <n v="14"/>
    <n v="5"/>
    <s v="Friday"/>
    <x v="0"/>
    <n v="21"/>
    <x v="0"/>
    <x v="0"/>
    <n v="1.07"/>
    <n v="73.33"/>
    <n v="0.85"/>
    <x v="2"/>
    <n v="1"/>
  </r>
  <r>
    <n v="71"/>
    <x v="68"/>
    <d v="2026-04-09T23:13:17"/>
    <n v="10"/>
    <n v="13"/>
    <n v="12"/>
    <n v="9.8666666666666671"/>
    <n v="0"/>
    <x v="1"/>
    <n v="4"/>
    <x v="6"/>
    <n v="15"/>
    <n v="4"/>
    <s v="Thursday"/>
    <x v="0"/>
    <n v="23"/>
    <x v="0"/>
    <x v="2"/>
    <n v="1.08"/>
    <n v="76.92"/>
    <n v="1.32"/>
    <x v="2"/>
    <n v="1"/>
  </r>
  <r>
    <n v="72"/>
    <x v="69"/>
    <d v="2026-04-09T23:36:27"/>
    <n v="20"/>
    <n v="25"/>
    <n v="11"/>
    <n v="18.733333333333334"/>
    <n v="0.15"/>
    <x v="1"/>
    <n v="4"/>
    <x v="6"/>
    <n v="15"/>
    <n v="4"/>
    <s v="Thursday"/>
    <x v="0"/>
    <n v="23"/>
    <x v="0"/>
    <x v="0"/>
    <n v="2.27"/>
    <n v="80"/>
    <n v="1.33"/>
    <x v="1"/>
    <n v="0"/>
  </r>
  <r>
    <n v="73"/>
    <x v="70"/>
    <d v="2026-04-11T00:05:50"/>
    <n v="4"/>
    <n v="9"/>
    <n v="5"/>
    <n v="8.9499999999999993"/>
    <n v="0"/>
    <x v="1"/>
    <n v="4"/>
    <x v="6"/>
    <n v="15"/>
    <n v="5"/>
    <s v="Friday"/>
    <x v="0"/>
    <n v="23"/>
    <x v="0"/>
    <x v="2"/>
    <n v="1.8"/>
    <n v="44.44"/>
    <n v="1.01"/>
    <x v="2"/>
    <n v="1"/>
  </r>
  <r>
    <n v="74"/>
    <x v="71"/>
    <d v="2026-04-11T00:30:27"/>
    <n v="16"/>
    <n v="22"/>
    <n v="15"/>
    <n v="17.566666666666666"/>
    <n v="2.8166666666666669"/>
    <x v="1"/>
    <n v="4"/>
    <x v="6"/>
    <n v="15"/>
    <n v="6"/>
    <s v="Saturday"/>
    <x v="1"/>
    <n v="0"/>
    <x v="1"/>
    <x v="0"/>
    <n v="1.47"/>
    <n v="72.73"/>
    <n v="1.25"/>
    <x v="0"/>
    <n v="0"/>
  </r>
  <r>
    <n v="75"/>
    <x v="72"/>
    <d v="2026-04-12T23:34:01"/>
    <n v="13"/>
    <n v="14"/>
    <n v="11"/>
    <n v="17.566666666666666"/>
    <n v="0"/>
    <x v="1"/>
    <n v="4"/>
    <x v="6"/>
    <n v="16"/>
    <n v="7"/>
    <s v="Sunday"/>
    <x v="1"/>
    <n v="23"/>
    <x v="0"/>
    <x v="0"/>
    <n v="1.27"/>
    <n v="92.86"/>
    <n v="0.8"/>
    <x v="0"/>
    <n v="0"/>
  </r>
  <r>
    <n v="76"/>
    <x v="73"/>
    <d v="2026-05-09T21:54:01"/>
    <n v="18"/>
    <n v="18"/>
    <n v="7"/>
    <n v="10.716666666666667"/>
    <n v="0.15"/>
    <x v="1"/>
    <n v="5"/>
    <x v="7"/>
    <n v="19"/>
    <n v="6"/>
    <s v="Saturday"/>
    <x v="1"/>
    <n v="21"/>
    <x v="0"/>
    <x v="2"/>
    <n v="2.57"/>
    <n v="100"/>
    <n v="1.68"/>
    <x v="1"/>
    <n v="0"/>
  </r>
  <r>
    <n v="77"/>
    <x v="74"/>
    <d v="2026-05-09T22:02:08"/>
    <n v="2"/>
    <n v="2"/>
    <n v="3"/>
    <n v="2.9"/>
    <n v="0"/>
    <x v="1"/>
    <n v="5"/>
    <x v="7"/>
    <n v="19"/>
    <n v="6"/>
    <s v="Saturday"/>
    <x v="1"/>
    <n v="21"/>
    <x v="0"/>
    <x v="2"/>
    <n v="0.67"/>
    <n v="100"/>
    <n v="0.69"/>
    <x v="2"/>
    <n v="1"/>
  </r>
  <r>
    <n v="78"/>
    <x v="75"/>
    <d v="2026-05-10T15:38:36"/>
    <n v="5"/>
    <n v="5"/>
    <n v="3"/>
    <n v="4.4000000000000004"/>
    <n v="0"/>
    <x v="1"/>
    <n v="5"/>
    <x v="7"/>
    <n v="20"/>
    <n v="7"/>
    <s v="Sunday"/>
    <x v="1"/>
    <n v="15"/>
    <x v="3"/>
    <x v="2"/>
    <n v="1.67"/>
    <n v="100"/>
    <n v="1.1399999999999999"/>
    <x v="0"/>
    <n v="0"/>
  </r>
  <r>
    <n v="79"/>
    <x v="76"/>
    <d v="2026-05-13T21:19:02"/>
    <n v="2"/>
    <n v="5"/>
    <n v="6"/>
    <n v="6.5666666666666664"/>
    <n v="0"/>
    <x v="1"/>
    <n v="5"/>
    <x v="7"/>
    <n v="20"/>
    <n v="3"/>
    <s v="Wednesday"/>
    <x v="0"/>
    <n v="21"/>
    <x v="0"/>
    <x v="2"/>
    <n v="0.83"/>
    <n v="40"/>
    <n v="0.76"/>
    <x v="2"/>
    <n v="1"/>
  </r>
  <r>
    <n v="80"/>
    <x v="77"/>
    <d v="2026-05-14T22:22:48"/>
    <n v="11"/>
    <n v="12"/>
    <n v="19"/>
    <n v="18.083333333333332"/>
    <n v="0"/>
    <x v="1"/>
    <n v="5"/>
    <x v="7"/>
    <n v="20"/>
    <n v="4"/>
    <s v="Thursday"/>
    <x v="0"/>
    <n v="22"/>
    <x v="0"/>
    <x v="0"/>
    <n v="0.63"/>
    <n v="91.67"/>
    <n v="0.66"/>
    <x v="2"/>
    <n v="1"/>
  </r>
  <r>
    <n v="81"/>
    <x v="78"/>
    <d v="2026-05-15T21:27:56"/>
    <n v="0"/>
    <n v="0"/>
    <n v="1"/>
    <n v="2"/>
    <n v="0"/>
    <x v="1"/>
    <n v="5"/>
    <x v="7"/>
    <n v="20"/>
    <n v="5"/>
    <s v="Friday"/>
    <x v="0"/>
    <n v="21"/>
    <x v="0"/>
    <x v="2"/>
    <n v="0"/>
    <n v="0"/>
    <n v="0"/>
    <x v="2"/>
    <n v="1"/>
  </r>
  <r>
    <n v="82"/>
    <x v="79"/>
    <d v="2026-05-31T19:27:26"/>
    <n v="11"/>
    <n v="13"/>
    <n v="14"/>
    <n v="14.283333333333333"/>
    <n v="0"/>
    <x v="1"/>
    <n v="5"/>
    <x v="7"/>
    <n v="23"/>
    <n v="7"/>
    <s v="Sunday"/>
    <x v="1"/>
    <n v="19"/>
    <x v="0"/>
    <x v="2"/>
    <n v="0.93"/>
    <n v="84.62"/>
    <n v="0.91"/>
    <x v="2"/>
    <n v="1"/>
  </r>
  <r>
    <n v="83"/>
    <x v="80"/>
    <d v="2026-05-31T21:01:21"/>
    <n v="10"/>
    <n v="14"/>
    <n v="8"/>
    <n v="11.333333333333334"/>
    <n v="0"/>
    <x v="1"/>
    <n v="5"/>
    <x v="7"/>
    <n v="23"/>
    <n v="7"/>
    <s v="Sunday"/>
    <x v="1"/>
    <n v="20"/>
    <x v="0"/>
    <x v="2"/>
    <n v="1.75"/>
    <n v="71.430000000000007"/>
    <n v="1.24"/>
    <x v="0"/>
    <n v="0"/>
  </r>
  <r>
    <n v="84"/>
    <x v="81"/>
    <d v="2026-06-18T18:38:16"/>
    <n v="62"/>
    <n v="82"/>
    <n v="53"/>
    <n v="69.766666666666666"/>
    <n v="2.4333333333333336"/>
    <x v="1"/>
    <n v="6"/>
    <x v="8"/>
    <n v="25"/>
    <n v="4"/>
    <s v="Thursday"/>
    <x v="0"/>
    <n v="17"/>
    <x v="3"/>
    <x v="1"/>
    <n v="1.55"/>
    <n v="75.61"/>
    <n v="1.18"/>
    <x v="0"/>
    <n v="0"/>
  </r>
  <r>
    <n v="85"/>
    <x v="82"/>
    <d v="2026-06-18T20:55:14"/>
    <n v="6"/>
    <n v="8"/>
    <n v="12"/>
    <n v="12.166666666666666"/>
    <n v="1.6666666666666667"/>
    <x v="1"/>
    <n v="6"/>
    <x v="8"/>
    <n v="25"/>
    <n v="4"/>
    <s v="Thursday"/>
    <x v="0"/>
    <n v="20"/>
    <x v="0"/>
    <x v="2"/>
    <n v="0.67"/>
    <n v="75"/>
    <n v="0.66"/>
    <x v="2"/>
    <n v="1"/>
  </r>
  <r>
    <n v="86"/>
    <x v="83"/>
    <d v="2026-06-18T21:30:03"/>
    <n v="0"/>
    <n v="2"/>
    <n v="3"/>
    <n v="1.2"/>
    <n v="0"/>
    <x v="1"/>
    <n v="6"/>
    <x v="8"/>
    <n v="25"/>
    <n v="4"/>
    <s v="Thursday"/>
    <x v="0"/>
    <n v="21"/>
    <x v="0"/>
    <x v="2"/>
    <n v="0.67"/>
    <n v="0"/>
    <n v="1.67"/>
    <x v="2"/>
    <n v="1"/>
  </r>
  <r>
    <n v="87"/>
    <x v="84"/>
    <d v="2026-06-19T20:49:10"/>
    <n v="0"/>
    <n v="0"/>
    <n v="1"/>
    <n v="1.8166666666666667"/>
    <n v="0"/>
    <x v="1"/>
    <n v="6"/>
    <x v="8"/>
    <n v="25"/>
    <n v="5"/>
    <s v="Friday"/>
    <x v="0"/>
    <n v="20"/>
    <x v="0"/>
    <x v="2"/>
    <n v="0"/>
    <n v="0"/>
    <n v="0"/>
    <x v="2"/>
    <n v="1"/>
  </r>
  <r>
    <n v="88"/>
    <x v="85"/>
    <d v="2026-06-19T22:15:26"/>
    <n v="70"/>
    <n v="90"/>
    <n v="52"/>
    <n v="67.283333333333331"/>
    <n v="0"/>
    <x v="1"/>
    <n v="6"/>
    <x v="8"/>
    <n v="25"/>
    <n v="5"/>
    <s v="Friday"/>
    <x v="0"/>
    <n v="21"/>
    <x v="0"/>
    <x v="1"/>
    <n v="1.73"/>
    <n v="77.78"/>
    <n v="1.34"/>
    <x v="0"/>
    <n v="0"/>
  </r>
  <r>
    <n v="89"/>
    <x v="86"/>
    <d v="2026-06-20T22:10:47"/>
    <n v="0"/>
    <n v="0"/>
    <n v="2"/>
    <n v="2.2666666666666666"/>
    <n v="0"/>
    <x v="1"/>
    <n v="6"/>
    <x v="8"/>
    <n v="25"/>
    <n v="6"/>
    <s v="Saturday"/>
    <x v="1"/>
    <n v="22"/>
    <x v="0"/>
    <x v="2"/>
    <n v="0"/>
    <n v="0"/>
    <n v="0"/>
    <x v="2"/>
    <n v="1"/>
  </r>
  <r>
    <n v="90"/>
    <x v="87"/>
    <d v="2026-06-20T22:37:25"/>
    <n v="12"/>
    <n v="17"/>
    <n v="10"/>
    <n v="15.766666666666667"/>
    <n v="0.15"/>
    <x v="1"/>
    <n v="6"/>
    <x v="8"/>
    <n v="25"/>
    <n v="6"/>
    <s v="Saturday"/>
    <x v="1"/>
    <n v="22"/>
    <x v="0"/>
    <x v="0"/>
    <n v="1.7"/>
    <n v="70.59"/>
    <n v="1.08"/>
    <x v="0"/>
    <n v="0"/>
  </r>
  <r>
    <n v="91"/>
    <x v="88"/>
    <d v="2026-06-21T20:08:48"/>
    <n v="31"/>
    <n v="40"/>
    <n v="26"/>
    <n v="37.133333333333333"/>
    <n v="0.16666666666666666"/>
    <x v="1"/>
    <n v="6"/>
    <x v="8"/>
    <n v="26"/>
    <n v="7"/>
    <s v="Sunday"/>
    <x v="1"/>
    <n v="19"/>
    <x v="0"/>
    <x v="0"/>
    <n v="1.54"/>
    <n v="77.5"/>
    <n v="1.08"/>
    <x v="0"/>
    <n v="0"/>
  </r>
  <r>
    <n v="92"/>
    <x v="89"/>
    <d v="2026-07-17T22:42:19"/>
    <n v="60"/>
    <n v="79"/>
    <n v="45"/>
    <n v="64.816666666666663"/>
    <n v="0.16666666666666666"/>
    <x v="1"/>
    <n v="7"/>
    <x v="9"/>
    <n v="29"/>
    <n v="5"/>
    <s v="Friday"/>
    <x v="0"/>
    <n v="21"/>
    <x v="0"/>
    <x v="1"/>
    <n v="1.76"/>
    <n v="75.95"/>
    <n v="1.22"/>
    <x v="0"/>
    <n v="0"/>
  </r>
  <r>
    <n v="93"/>
    <x v="90"/>
    <d v="2026-07-26T00:13:27"/>
    <n v="13"/>
    <n v="19"/>
    <n v="12"/>
    <n v="16.633333333333333"/>
    <n v="0.65"/>
    <x v="1"/>
    <n v="7"/>
    <x v="9"/>
    <n v="30"/>
    <n v="6"/>
    <s v="Saturday"/>
    <x v="1"/>
    <n v="23"/>
    <x v="0"/>
    <x v="0"/>
    <n v="1.58"/>
    <n v="68.42"/>
    <n v="1.1399999999999999"/>
    <x v="0"/>
    <n v="0"/>
  </r>
  <r>
    <n v="94"/>
    <x v="91"/>
    <d v="2026-08-17T22:21:57"/>
    <n v="0"/>
    <n v="0"/>
    <n v="2"/>
    <n v="4.9333333333333336"/>
    <n v="0"/>
    <x v="1"/>
    <n v="8"/>
    <x v="10"/>
    <n v="34"/>
    <n v="1"/>
    <s v="Monday"/>
    <x v="0"/>
    <n v="22"/>
    <x v="0"/>
    <x v="2"/>
    <n v="0"/>
    <n v="0"/>
    <n v="0"/>
    <x v="2"/>
    <n v="1"/>
  </r>
  <r>
    <n v="95"/>
    <x v="92"/>
    <d v="2026-08-17T23:49:15"/>
    <n v="37"/>
    <n v="50"/>
    <n v="29"/>
    <n v="35.450000000000003"/>
    <n v="0"/>
    <x v="1"/>
    <n v="8"/>
    <x v="10"/>
    <n v="34"/>
    <n v="1"/>
    <s v="Monday"/>
    <x v="0"/>
    <n v="23"/>
    <x v="0"/>
    <x v="0"/>
    <n v="1.72"/>
    <n v="74"/>
    <n v="1.41"/>
    <x v="0"/>
    <n v="0"/>
  </r>
  <r>
    <n v="96"/>
    <x v="93"/>
    <d v="2026-09-11T19:23:25"/>
    <n v="10"/>
    <n v="11"/>
    <n v="6"/>
    <n v="7.5"/>
    <n v="0"/>
    <x v="1"/>
    <n v="9"/>
    <x v="11"/>
    <n v="37"/>
    <n v="5"/>
    <s v="Friday"/>
    <x v="0"/>
    <n v="19"/>
    <x v="0"/>
    <x v="2"/>
    <n v="1.83"/>
    <n v="90.91"/>
    <n v="1.47"/>
    <x v="1"/>
    <n v="0"/>
  </r>
  <r>
    <n v="97"/>
    <x v="94"/>
    <d v="2026-09-16T20:42:42"/>
    <n v="16"/>
    <n v="18"/>
    <n v="11"/>
    <n v="16.933333333333334"/>
    <n v="0"/>
    <x v="1"/>
    <n v="9"/>
    <x v="11"/>
    <n v="38"/>
    <n v="3"/>
    <s v="Wednesday"/>
    <x v="0"/>
    <n v="20"/>
    <x v="0"/>
    <x v="0"/>
    <n v="1.64"/>
    <n v="88.89"/>
    <n v="1.06"/>
    <x v="0"/>
    <n v="0"/>
  </r>
  <r>
    <n v="98"/>
    <x v="95"/>
    <d v="2026-09-24T19:47:56"/>
    <n v="32"/>
    <n v="45"/>
    <n v="40"/>
    <n v="49.216666666666669"/>
    <n v="10.766666666666666"/>
    <x v="1"/>
    <n v="9"/>
    <x v="11"/>
    <n v="39"/>
    <n v="4"/>
    <s v="Thursday"/>
    <x v="0"/>
    <n v="18"/>
    <x v="0"/>
    <x v="1"/>
    <n v="1.1299999999999999"/>
    <n v="71.11"/>
    <n v="0.91"/>
    <x v="2"/>
    <n v="1"/>
  </r>
  <r>
    <n v="99"/>
    <x v="96"/>
    <d v="2026-09-24T21:16:26"/>
    <n v="63"/>
    <n v="92"/>
    <n v="75"/>
    <n v="81.23333333333332"/>
    <n v="0.15"/>
    <x v="1"/>
    <n v="9"/>
    <x v="11"/>
    <n v="39"/>
    <n v="4"/>
    <s v="Thursday"/>
    <x v="0"/>
    <n v="19"/>
    <x v="0"/>
    <x v="1"/>
    <n v="1.23"/>
    <n v="68.48"/>
    <n v="1.1299999999999999"/>
    <x v="0"/>
    <n v="0"/>
  </r>
  <r>
    <n v="100"/>
    <x v="97"/>
    <d v="2026-09-25T20:55:00"/>
    <n v="40"/>
    <n v="56"/>
    <n v="37"/>
    <n v="48.883333333333333"/>
    <n v="4.9833333333333334"/>
    <x v="1"/>
    <n v="9"/>
    <x v="11"/>
    <n v="39"/>
    <n v="5"/>
    <s v="Friday"/>
    <x v="0"/>
    <n v="20"/>
    <x v="0"/>
    <x v="1"/>
    <n v="1.51"/>
    <n v="71.430000000000007"/>
    <n v="1.1499999999999999"/>
    <x v="0"/>
    <n v="0"/>
  </r>
  <r>
    <n v="101"/>
    <x v="98"/>
    <d v="2026-09-26T20:21:38"/>
    <n v="0"/>
    <n v="0"/>
    <n v="1"/>
    <n v="2.2999999999999998"/>
    <n v="0"/>
    <x v="1"/>
    <n v="9"/>
    <x v="11"/>
    <n v="39"/>
    <n v="6"/>
    <s v="Saturday"/>
    <x v="1"/>
    <n v="20"/>
    <x v="0"/>
    <x v="2"/>
    <n v="0"/>
    <n v="0"/>
    <n v="0"/>
    <x v="2"/>
    <n v="1"/>
  </r>
  <r>
    <n v="102"/>
    <x v="99"/>
    <d v="2026-09-26T21:42:58"/>
    <n v="69"/>
    <n v="79"/>
    <n v="67"/>
    <n v="75.816666666666663"/>
    <n v="0.16666666666666666"/>
    <x v="1"/>
    <n v="9"/>
    <x v="11"/>
    <n v="39"/>
    <n v="6"/>
    <s v="Saturday"/>
    <x v="1"/>
    <n v="20"/>
    <x v="0"/>
    <x v="1"/>
    <n v="1.18"/>
    <n v="87.34"/>
    <n v="1.04"/>
    <x v="2"/>
    <n v="1"/>
  </r>
  <r>
    <n v="103"/>
    <x v="100"/>
    <d v="2026-09-26T23:09:16"/>
    <n v="0"/>
    <n v="0"/>
    <n v="1"/>
    <n v="1.2"/>
    <n v="0"/>
    <x v="1"/>
    <n v="9"/>
    <x v="11"/>
    <n v="39"/>
    <n v="6"/>
    <s v="Saturday"/>
    <x v="1"/>
    <n v="23"/>
    <x v="0"/>
    <x v="2"/>
    <n v="0"/>
    <n v="0"/>
    <n v="0"/>
    <x v="2"/>
    <n v="1"/>
  </r>
  <r>
    <n v="104"/>
    <x v="101"/>
    <d v="2026-09-27T16:50:59"/>
    <n v="2"/>
    <n v="3"/>
    <n v="6"/>
    <n v="4.9833333333333334"/>
    <n v="8.3333333333333329E-2"/>
    <x v="1"/>
    <n v="9"/>
    <x v="11"/>
    <n v="40"/>
    <n v="7"/>
    <s v="Sunday"/>
    <x v="1"/>
    <n v="16"/>
    <x v="3"/>
    <x v="2"/>
    <n v="0.5"/>
    <n v="66.67"/>
    <n v="0.6"/>
    <x v="2"/>
    <n v="1"/>
  </r>
  <r>
    <n v="105"/>
    <x v="102"/>
    <d v="2026-10-03T19:54:09"/>
    <n v="7"/>
    <n v="8"/>
    <n v="13"/>
    <n v="15.633333333333333"/>
    <n v="0"/>
    <x v="1"/>
    <n v="10"/>
    <x v="0"/>
    <n v="40"/>
    <n v="6"/>
    <s v="Saturday"/>
    <x v="1"/>
    <n v="19"/>
    <x v="0"/>
    <x v="0"/>
    <n v="0.62"/>
    <n v="87.5"/>
    <n v="0.51"/>
    <x v="2"/>
    <n v="1"/>
  </r>
  <r>
    <n v="106"/>
    <x v="103"/>
    <d v="2026-10-03T21:05:41"/>
    <n v="59"/>
    <n v="72"/>
    <n v="47"/>
    <n v="59.95"/>
    <n v="6.3"/>
    <x v="1"/>
    <n v="10"/>
    <x v="0"/>
    <n v="40"/>
    <n v="6"/>
    <s v="Saturday"/>
    <x v="1"/>
    <n v="19"/>
    <x v="0"/>
    <x v="1"/>
    <n v="1.53"/>
    <n v="81.94"/>
    <n v="1.2"/>
    <x v="0"/>
    <n v="0"/>
  </r>
  <r>
    <n v="107"/>
    <x v="104"/>
    <d v="2026-10-03T22:13:16"/>
    <n v="1"/>
    <n v="1"/>
    <n v="4"/>
    <n v="5.8"/>
    <n v="0"/>
    <x v="1"/>
    <n v="10"/>
    <x v="0"/>
    <n v="40"/>
    <n v="6"/>
    <s v="Saturday"/>
    <x v="1"/>
    <n v="22"/>
    <x v="0"/>
    <x v="2"/>
    <n v="0.25"/>
    <n v="100"/>
    <n v="0.17"/>
    <x v="2"/>
    <n v="1"/>
  </r>
  <r>
    <n v="108"/>
    <x v="105"/>
    <d v="2026-10-03T23:26:54"/>
    <n v="9"/>
    <n v="11"/>
    <n v="6"/>
    <n v="8.85"/>
    <n v="0"/>
    <x v="1"/>
    <n v="10"/>
    <x v="0"/>
    <n v="40"/>
    <n v="6"/>
    <s v="Saturday"/>
    <x v="1"/>
    <n v="23"/>
    <x v="0"/>
    <x v="2"/>
    <n v="1.83"/>
    <n v="81.819999999999993"/>
    <n v="1.24"/>
    <x v="1"/>
    <n v="0"/>
  </r>
  <r>
    <n v="109"/>
    <x v="106"/>
    <d v="2026-10-04T20:11:52"/>
    <n v="27"/>
    <n v="29"/>
    <n v="20"/>
    <n v="23.85"/>
    <n v="0"/>
    <x v="1"/>
    <n v="10"/>
    <x v="0"/>
    <n v="41"/>
    <n v="7"/>
    <s v="Sunday"/>
    <x v="1"/>
    <n v="19"/>
    <x v="0"/>
    <x v="0"/>
    <n v="1.45"/>
    <n v="93.1"/>
    <n v="1.22"/>
    <x v="0"/>
    <n v="0"/>
  </r>
  <r>
    <n v="110"/>
    <x v="107"/>
    <d v="2026-10-04T21:25:07"/>
    <n v="16"/>
    <n v="18"/>
    <n v="10"/>
    <n v="14.833333333333334"/>
    <n v="0"/>
    <x v="1"/>
    <n v="10"/>
    <x v="0"/>
    <n v="41"/>
    <n v="7"/>
    <s v="Sunday"/>
    <x v="1"/>
    <n v="21"/>
    <x v="0"/>
    <x v="2"/>
    <n v="1.8"/>
    <n v="88.89"/>
    <n v="1.21"/>
    <x v="1"/>
    <n v="0"/>
  </r>
  <r>
    <n v="111"/>
    <x v="108"/>
    <d v="2026-10-16T22:20:11"/>
    <n v="0"/>
    <n v="2"/>
    <n v="3"/>
    <n v="3.0166666666666666"/>
    <n v="0"/>
    <x v="1"/>
    <n v="10"/>
    <x v="0"/>
    <n v="42"/>
    <n v="5"/>
    <s v="Friday"/>
    <x v="0"/>
    <n v="22"/>
    <x v="0"/>
    <x v="2"/>
    <n v="0.67"/>
    <n v="0"/>
    <n v="0.66"/>
    <x v="2"/>
    <n v="1"/>
  </r>
  <r>
    <n v="112"/>
    <x v="109"/>
    <d v="2026-10-16T23:41:07"/>
    <n v="8"/>
    <n v="12"/>
    <n v="6"/>
    <n v="7.083333333333333"/>
    <n v="0"/>
    <x v="1"/>
    <n v="10"/>
    <x v="0"/>
    <n v="42"/>
    <n v="5"/>
    <s v="Friday"/>
    <x v="0"/>
    <n v="23"/>
    <x v="0"/>
    <x v="2"/>
    <n v="2"/>
    <n v="66.67"/>
    <n v="1.69"/>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5DB35-51F3-4E64-ABED-2FFC6268D9D5}" name="time_series" cacheId="0" applyNumberFormats="0" applyBorderFormats="0" applyFontFormats="0" applyPatternFormats="0" applyAlignmentFormats="0" applyWidthHeightFormats="1" dataCaption="Values" grandTotalCaption="Total:" missingCaption="0" updatedVersion="8" minRefreshableVersion="5" itemPrintTitles="1" createdVersion="8" indent="0" compact="0" outline="1" outlineData="1" compactData="0" chartFormat="3" rowHeaderCaption="">
  <location ref="E88:U106" firstHeaderRow="0" firstDataRow="1" firstDataCol="2"/>
  <pivotFields count="27">
    <pivotField dataField="1" compact="0" showAll="0" insertBlankRow="1"/>
    <pivotField compact="0" numFmtId="164" showAll="0" insertBlankRow="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compact="0" numFmtId="164" showAll="0" insertBlankRow="1"/>
    <pivotField compact="0" showAll="0" insertBlankRow="1"/>
    <pivotField compact="0" showAll="0" insertBlankRow="1"/>
    <pivotField compact="0" showAll="0" insertBlankRow="1"/>
    <pivotField dataField="1" compact="0" showAll="0" insertBlankRow="1"/>
    <pivotField compact="0" showAll="0" insertBlankRow="1"/>
    <pivotField name=" Year" axis="axisRow" compact="0" showAll="0" insertBlankRow="1" sortType="ascending">
      <items count="3">
        <item x="0"/>
        <item x="1"/>
        <item t="default"/>
      </items>
    </pivotField>
    <pivotField compact="0" showAll="0" insertBlankRow="1"/>
    <pivotField name="Month Name" axis="axisRow" compact="0" showAll="0" insertBlankRow="1" nonAutoSortDefault="1">
      <items count="13">
        <item x="3"/>
        <item x="4"/>
        <item x="5"/>
        <item x="6"/>
        <item x="7"/>
        <item x="8"/>
        <item x="9"/>
        <item x="10"/>
        <item x="11"/>
        <item x="0"/>
        <item x="1"/>
        <item x="2"/>
        <item t="default"/>
      </items>
    </pivotField>
    <pivotField compact="0" showAll="0" insertBlankRow="1"/>
    <pivotField compact="0" showAll="0" insertBlankRow="1"/>
    <pivotField compact="0" showAll="0" insertBlankRow="1"/>
    <pivotField compact="0" showAll="0" insertBlankRow="1">
      <items count="3">
        <item x="0"/>
        <item x="1"/>
        <item t="default"/>
      </items>
    </pivotField>
    <pivotField compact="0" showAll="0" insertBlankRow="1"/>
    <pivotField compact="0" showAll="0" insertBlankRow="1">
      <items count="5">
        <item x="3"/>
        <item x="0"/>
        <item x="2"/>
        <item x="1"/>
        <item t="default"/>
      </items>
    </pivotField>
    <pivotField compact="0" showAll="0" insertBlankRow="1">
      <items count="4">
        <item x="1"/>
        <item x="0"/>
        <item x="2"/>
        <item t="default"/>
      </items>
    </pivotField>
    <pivotField compact="0" showAll="0" insertBlankRow="1"/>
    <pivotField compact="0" showAll="0" insertBlankRow="1"/>
    <pivotField compact="0" showAll="0" insertBlankRow="1"/>
    <pivotField compact="0" showAll="0" insertBlankRow="1">
      <items count="4">
        <item x="0"/>
        <item x="1"/>
        <item x="2"/>
        <item t="default"/>
      </items>
    </pivotField>
    <pivotField dataField="1" compact="0" showAll="0" insertBlankRow="1"/>
    <pivotField dataField="1" compact="0" dragToRow="0" dragToCol="0" dragToPage="0" showAll="0" insertBlankRow="1" defaultSubtotal="0"/>
    <pivotField dataField="1" compact="0" dragToRow="0" dragToCol="0" dragToPage="0" showAll="0" insertBlankRow="1" defaultSubtotal="0"/>
    <pivotField dataField="1" compact="0" dragToRow="0" dragToCol="0" dragToPage="0" showAll="0" insertBlankRow="1" defaultSubtotal="0"/>
    <pivotField dataField="1" compact="0" dragToRow="0" dragToCol="0" dragToPage="0" showAll="0" insertBlankRow="1" defaultSubtotal="0"/>
  </pivotFields>
  <rowFields count="2">
    <field x="8"/>
    <field x="10"/>
  </rowFields>
  <rowItems count="18">
    <i>
      <x/>
    </i>
    <i r="1">
      <x v="9"/>
    </i>
    <i r="1">
      <x v="10"/>
    </i>
    <i r="1">
      <x v="11"/>
    </i>
    <i t="blank">
      <x/>
    </i>
    <i>
      <x v="1"/>
    </i>
    <i r="1">
      <x/>
    </i>
    <i r="1">
      <x v="1"/>
    </i>
    <i r="1">
      <x v="2"/>
    </i>
    <i r="1">
      <x v="3"/>
    </i>
    <i r="1">
      <x v="4"/>
    </i>
    <i r="1">
      <x v="5"/>
    </i>
    <i r="1">
      <x v="6"/>
    </i>
    <i r="1">
      <x v="7"/>
    </i>
    <i r="1">
      <x v="8"/>
    </i>
    <i r="1">
      <x v="9"/>
    </i>
    <i t="blank">
      <x v="1"/>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essions" fld="0" subtotal="count" baseField="9" baseItem="11"/>
    <dataField name="Sessions share" fld="0" subtotal="count" showDataAs="percentOfTotal" baseField="0" baseItem="0" numFmtId="10"/>
    <dataField name="Poor Sessions" fld="22" baseField="0" baseItem="0"/>
    <dataField name="Poor Sessions %" fld="22" subtotal="average" baseField="0" baseItem="0" numFmtId="10"/>
    <dataField name="Sessions Prev Month Diff" fld="0" subtotal="count" showDataAs="difference" baseField="10" baseItem="1048828"/>
    <dataField name=" " fld="0" subtotal="count" showDataAs="difference" baseField="10" baseItem="1048828" numFmtId="166"/>
    <dataField name=" Playtime hr" fld="25" baseField="0" baseItem="0" numFmtId="2"/>
    <dataField name="Playtime Share" fld="25" showDataAs="percentOfTotal" baseField="0" baseItem="0" numFmtId="10"/>
    <dataField name="Avg Session Duration Min" fld="6" subtotal="average" baseField="0" baseItem="0" numFmtId="2"/>
    <dataField name=" KDR" fld="23" baseField="0" baseItem="0" numFmtId="2"/>
    <dataField name="KDR Rank" fld="23" baseField="10" baseItem="0">
      <extLst>
        <ext xmlns:x14="http://schemas.microsoft.com/office/spreadsheetml/2009/9/main" uri="{E15A36E0-9728-4e99-A89B-3F7291B0FE68}">
          <x14:dataField pivotShowAs="rankDescending"/>
        </ext>
      </extLst>
    </dataField>
    <dataField name="KDR Prev Year Diff" fld="23" showDataAs="percentDiff" baseField="8" baseItem="1048828" numFmtId="10"/>
    <dataField name=" HS%" fld="24" baseField="0" baseItem="0" numFmtId="10"/>
    <dataField name="HS% Rank" fld="24" baseField="10" baseItem="0">
      <extLst>
        <ext xmlns:x14="http://schemas.microsoft.com/office/spreadsheetml/2009/9/main" uri="{E15A36E0-9728-4e99-A89B-3F7291B0FE68}">
          <x14:dataField pivotShowAs="rankDescending"/>
        </ext>
      </extLst>
    </dataField>
    <dataField name="Kills Per Min" fld="26" baseField="0" baseItem="0" numFmtId="2"/>
  </dataFields>
  <formats count="44">
    <format dxfId="55">
      <pivotArea fieldPosition="0">
        <references count="3">
          <reference field="4294967294" count="1" selected="0">
            <x v="5"/>
          </reference>
          <reference field="8" count="1" selected="0">
            <x v="0"/>
          </reference>
          <reference field="10" count="2">
            <x v="10"/>
            <x v="11"/>
          </reference>
        </references>
      </pivotArea>
    </format>
    <format dxfId="54">
      <pivotArea fieldPosition="0">
        <references count="2">
          <reference field="4294967294" count="1" selected="0">
            <x v="5"/>
          </reference>
          <reference field="8" count="1">
            <x v="0"/>
          </reference>
        </references>
      </pivotArea>
    </format>
    <format dxfId="53">
      <pivotArea fieldPosition="0">
        <references count="2">
          <reference field="4294967294" count="1" selected="0">
            <x v="5"/>
          </reference>
          <reference field="8" count="1">
            <x v="1"/>
          </reference>
        </references>
      </pivotArea>
    </format>
    <format dxfId="52">
      <pivotArea fieldPosition="0">
        <references count="3">
          <reference field="4294967294" count="1" selected="0">
            <x v="5"/>
          </reference>
          <reference field="8" count="1" selected="0">
            <x v="1"/>
          </reference>
          <reference field="10" count="10">
            <x v="0"/>
            <x v="1"/>
            <x v="2"/>
            <x v="3"/>
            <x v="4"/>
            <x v="5"/>
            <x v="6"/>
            <x v="7"/>
            <x v="8"/>
            <x v="9"/>
          </reference>
        </references>
      </pivotArea>
    </format>
    <format dxfId="51">
      <pivotArea fieldPosition="0">
        <references count="3">
          <reference field="4294967294" count="1" selected="0">
            <x v="5"/>
          </reference>
          <reference field="8" count="1" selected="0">
            <x v="0"/>
          </reference>
          <reference field="10" count="2">
            <x v="10"/>
            <x v="11"/>
          </reference>
        </references>
      </pivotArea>
    </format>
    <format dxfId="50">
      <pivotArea fieldPosition="0">
        <references count="2">
          <reference field="4294967294" count="1" selected="0">
            <x v="5"/>
          </reference>
          <reference field="8" count="1">
            <x v="0"/>
          </reference>
        </references>
      </pivotArea>
    </format>
    <format dxfId="49">
      <pivotArea fieldPosition="0">
        <references count="2">
          <reference field="4294967294" count="1" selected="0">
            <x v="5"/>
          </reference>
          <reference field="8" count="1">
            <x v="1"/>
          </reference>
        </references>
      </pivotArea>
    </format>
    <format dxfId="48">
      <pivotArea fieldPosition="0">
        <references count="3">
          <reference field="4294967294" count="1" selected="0">
            <x v="5"/>
          </reference>
          <reference field="8" count="1" selected="0">
            <x v="1"/>
          </reference>
          <reference field="10" count="10">
            <x v="0"/>
            <x v="1"/>
            <x v="2"/>
            <x v="3"/>
            <x v="4"/>
            <x v="5"/>
            <x v="6"/>
            <x v="7"/>
            <x v="8"/>
            <x v="9"/>
          </reference>
        </references>
      </pivotArea>
    </format>
    <format dxfId="47">
      <pivotArea outline="0" fieldPosition="0">
        <references count="1">
          <reference field="4294967294" count="1">
            <x v="11"/>
          </reference>
        </references>
      </pivotArea>
    </format>
    <format dxfId="46">
      <pivotArea field="8" type="button" dataOnly="0" labelOnly="1" outline="0" axis="axisRow" fieldPosition="0"/>
    </format>
    <format dxfId="45">
      <pivotArea field="10" type="button" dataOnly="0" labelOnly="1" outline="0" axis="axisRow" fieldPosition="1"/>
    </format>
    <format dxfId="44">
      <pivotArea dataOnly="0" labelOnly="1" outline="0" fieldPosition="0">
        <references count="1">
          <reference field="4294967294" count="13">
            <x v="0"/>
            <x v="1"/>
            <x v="4"/>
            <x v="5"/>
            <x v="6"/>
            <x v="7"/>
            <x v="8"/>
            <x v="9"/>
            <x v="10"/>
            <x v="11"/>
            <x v="12"/>
            <x v="13"/>
            <x v="14"/>
          </reference>
        </references>
      </pivotArea>
    </format>
    <format dxfId="43">
      <pivotArea grandRow="1" outline="0" collapsedLevelsAreSubtotals="1" fieldPosition="0"/>
    </format>
    <format dxfId="42">
      <pivotArea dataOnly="0" labelOnly="1" grandRow="1" outline="0" fieldPosition="0"/>
    </format>
    <format dxfId="41">
      <pivotArea field="8" type="button" dataOnly="0" labelOnly="1" outline="0" axis="axisRow" fieldPosition="0"/>
    </format>
    <format dxfId="40">
      <pivotArea field="10" type="button" dataOnly="0" labelOnly="1" outline="0" axis="axisRow" fieldPosition="1"/>
    </format>
    <format dxfId="39">
      <pivotArea dataOnly="0" labelOnly="1" outline="0" fieldPosition="0">
        <references count="1">
          <reference field="4294967294" count="13">
            <x v="0"/>
            <x v="1"/>
            <x v="4"/>
            <x v="5"/>
            <x v="6"/>
            <x v="7"/>
            <x v="8"/>
            <x v="9"/>
            <x v="10"/>
            <x v="11"/>
            <x v="12"/>
            <x v="13"/>
            <x v="14"/>
          </reference>
        </references>
      </pivotArea>
    </format>
    <format dxfId="38">
      <pivotArea grandRow="1" outline="0" collapsedLevelsAreSubtotals="1" fieldPosition="0"/>
    </format>
    <format dxfId="37">
      <pivotArea dataOnly="0" labelOnly="1" grandRow="1" outline="0" fieldPosition="0"/>
    </format>
    <format>
      <pivotArea type="all" dataOnly="0" outline="0" fieldPosition="0"/>
    </format>
    <format>
      <pivotArea outline="0" collapsedLevelsAreSubtotals="1" fieldPosition="0"/>
    </format>
    <format>
      <pivotArea dataOnly="0" labelOnly="1" outline="0" fieldPosition="0">
        <references count="1">
          <reference field="8" count="0"/>
        </references>
      </pivotArea>
    </format>
    <format>
      <pivotArea dataOnly="0" labelOnly="1" grandRow="1" outline="0" fieldPosition="0"/>
    </format>
    <format>
      <pivotArea dataOnly="0" labelOnly="1" outline="0" fieldPosition="0">
        <references count="2">
          <reference field="8" count="1" selected="0">
            <x v="0"/>
          </reference>
          <reference field="10" count="3">
            <x v="9"/>
            <x v="10"/>
            <x v="11"/>
          </reference>
        </references>
      </pivotArea>
    </format>
    <format>
      <pivotArea dataOnly="0" labelOnly="1" outline="0" fieldPosition="0">
        <references count="2">
          <reference field="8" count="1" selected="0">
            <x v="1"/>
          </reference>
          <reference field="10" count="10">
            <x v="0"/>
            <x v="1"/>
            <x v="2"/>
            <x v="3"/>
            <x v="4"/>
            <x v="5"/>
            <x v="6"/>
            <x v="7"/>
            <x v="8"/>
            <x v="9"/>
          </reference>
        </references>
      </pivotArea>
    </format>
    <format dxfId="36">
      <pivotArea dataOnly="0" labelOnly="1" outline="0" fieldPosition="0">
        <references count="1">
          <reference field="4294967294" count="14">
            <x v="0"/>
            <x v="1"/>
            <x v="2"/>
            <x v="4"/>
            <x v="5"/>
            <x v="6"/>
            <x v="7"/>
            <x v="8"/>
            <x v="9"/>
            <x v="10"/>
            <x v="11"/>
            <x v="12"/>
            <x v="13"/>
            <x v="14"/>
          </reference>
        </references>
      </pivotArea>
    </format>
    <format dxfId="35">
      <pivotArea dataOnly="0" labelOnly="1" outline="0" fieldPosition="0">
        <references count="1">
          <reference field="4294967294" count="14">
            <x v="0"/>
            <x v="1"/>
            <x v="2"/>
            <x v="4"/>
            <x v="5"/>
            <x v="6"/>
            <x v="7"/>
            <x v="8"/>
            <x v="9"/>
            <x v="10"/>
            <x v="11"/>
            <x v="12"/>
            <x v="13"/>
            <x v="14"/>
          </reference>
        </references>
      </pivotArea>
    </format>
    <format dxfId="34">
      <pivotArea dataOnly="0" labelOnly="1" outline="0" fieldPosition="0">
        <references count="1">
          <reference field="4294967294" count="14">
            <x v="0"/>
            <x v="1"/>
            <x v="2"/>
            <x v="4"/>
            <x v="5"/>
            <x v="6"/>
            <x v="7"/>
            <x v="8"/>
            <x v="9"/>
            <x v="10"/>
            <x v="11"/>
            <x v="12"/>
            <x v="13"/>
            <x v="14"/>
          </reference>
        </references>
      </pivotArea>
    </format>
    <format dxfId="33">
      <pivotArea dataOnly="0" labelOnly="1" outline="0" fieldPosition="0">
        <references count="1">
          <reference field="4294967294" count="1">
            <x v="2"/>
          </reference>
        </references>
      </pivotArea>
    </format>
    <format>
      <pivotArea dataOnly="0" labelOnly="1" outline="0" fieldPosition="0">
        <references count="1">
          <reference field="4294967294" count="14">
            <x v="0"/>
            <x v="1"/>
            <x v="2"/>
            <x v="4"/>
            <x v="5"/>
            <x v="6"/>
            <x v="7"/>
            <x v="8"/>
            <x v="9"/>
            <x v="10"/>
            <x v="11"/>
            <x v="12"/>
            <x v="13"/>
            <x v="14"/>
          </reference>
        </references>
      </pivotArea>
    </format>
    <format dxfId="32">
      <pivotArea outline="0" fieldPosition="0">
        <references count="1">
          <reference field="4294967294" count="1">
            <x v="3"/>
          </reference>
        </references>
      </pivotArea>
    </format>
    <format dxfId="31">
      <pivotArea dataOnly="0" labelOnly="1" outline="0" fieldPosition="0">
        <references count="1">
          <reference field="4294967294" count="1">
            <x v="3"/>
          </reference>
        </references>
      </pivotArea>
    </format>
    <format dxfId="30">
      <pivotArea field="8" type="button" dataOnly="0" labelOnly="1" outline="0" axis="axisRow" fieldPosition="0"/>
    </format>
    <format dxfId="29">
      <pivotArea field="10" type="button" dataOnly="0" labelOnly="1" outline="0" axis="axisRow" fieldPosition="1"/>
    </format>
    <format dxfId="28">
      <pivotArea dataOnly="0" labelOnly="1" outline="0" fieldPosition="0">
        <references count="1">
          <reference field="4294967294" count="15">
            <x v="0"/>
            <x v="1"/>
            <x v="2"/>
            <x v="3"/>
            <x v="4"/>
            <x v="5"/>
            <x v="6"/>
            <x v="7"/>
            <x v="8"/>
            <x v="9"/>
            <x v="10"/>
            <x v="11"/>
            <x v="12"/>
            <x v="13"/>
            <x v="14"/>
          </reference>
        </references>
      </pivotArea>
    </format>
    <format dxfId="27">
      <pivotArea field="8" type="button" dataOnly="0" labelOnly="1" outline="0" axis="axisRow" fieldPosition="0"/>
    </format>
    <format dxfId="26">
      <pivotArea field="10" type="button" dataOnly="0" labelOnly="1" outline="0" axis="axisRow" fieldPosition="1"/>
    </format>
    <format dxfId="25">
      <pivotArea dataOnly="0" labelOnly="1" outline="0" fieldPosition="0">
        <references count="1">
          <reference field="4294967294" count="15">
            <x v="0"/>
            <x v="1"/>
            <x v="2"/>
            <x v="3"/>
            <x v="4"/>
            <x v="5"/>
            <x v="6"/>
            <x v="7"/>
            <x v="8"/>
            <x v="9"/>
            <x v="10"/>
            <x v="11"/>
            <x v="12"/>
            <x v="13"/>
            <x v="14"/>
          </reference>
        </references>
      </pivotArea>
    </format>
    <format dxfId="24">
      <pivotArea field="8" type="button" dataOnly="0" labelOnly="1" outline="0" axis="axisRow" fieldPosition="0"/>
    </format>
    <format dxfId="23">
      <pivotArea field="10" type="button" dataOnly="0" labelOnly="1" outline="0" axis="axisRow" fieldPosition="1"/>
    </format>
    <format dxfId="22">
      <pivotArea dataOnly="0" labelOnly="1" outline="0" fieldPosition="0">
        <references count="1">
          <reference field="4294967294" count="15">
            <x v="0"/>
            <x v="1"/>
            <x v="2"/>
            <x v="3"/>
            <x v="4"/>
            <x v="5"/>
            <x v="6"/>
            <x v="7"/>
            <x v="8"/>
            <x v="9"/>
            <x v="10"/>
            <x v="11"/>
            <x v="12"/>
            <x v="13"/>
            <x v="14"/>
          </reference>
        </references>
      </pivotArea>
    </format>
    <format>
      <pivotArea field="8" type="button" dataOnly="0" labelOnly="1" outline="0" axis="axisRow" fieldPosition="0"/>
    </format>
    <format>
      <pivotArea field="10" type="button" dataOnly="0" labelOnly="1" outline="0" axis="axisRow" fieldPosition="1"/>
    </format>
    <format>
      <pivotArea dataOnly="0" labelOnly="1" outline="0" fieldPosition="0">
        <references count="1">
          <reference field="4294967294" count="15">
            <x v="0"/>
            <x v="1"/>
            <x v="2"/>
            <x v="3"/>
            <x v="4"/>
            <x v="5"/>
            <x v="6"/>
            <x v="7"/>
            <x v="8"/>
            <x v="9"/>
            <x v="10"/>
            <x v="11"/>
            <x v="12"/>
            <x v="13"/>
            <x v="14"/>
          </reference>
        </references>
      </pivotArea>
    </format>
  </formats>
  <conditionalFormats count="9">
    <conditionalFormat scope="field" priority="1">
      <pivotAreas count="1">
        <pivotArea outline="0" collapsedLevelsAreSubtotals="1" fieldPosition="0">
          <references count="2">
            <reference field="4294967294" count="1" selected="0">
              <x v="3"/>
            </reference>
            <reference field="10" count="0" selected="0"/>
          </references>
        </pivotArea>
      </pivotAreas>
    </conditionalFormat>
    <conditionalFormat scope="field" priority="6">
      <pivotAreas count="1">
        <pivotArea outline="0" collapsedLevelsAreSubtotals="1" fieldPosition="0">
          <references count="2">
            <reference field="4294967294" count="1" selected="0">
              <x v="4"/>
            </reference>
            <reference field="10" count="0" selected="0"/>
          </references>
        </pivotArea>
      </pivotAreas>
    </conditionalFormat>
    <conditionalFormat scope="field" priority="7">
      <pivotAreas count="1">
        <pivotArea outline="0" collapsedLevelsAreSubtotals="1" fieldPosition="0">
          <references count="2">
            <reference field="4294967294" count="1" selected="0">
              <x v="14"/>
            </reference>
            <reference field="10" count="0" selected="0"/>
          </references>
        </pivotArea>
      </pivotAreas>
    </conditionalFormat>
    <conditionalFormat scope="field" priority="8">
      <pivotAreas count="1">
        <pivotArea outline="0" collapsedLevelsAreSubtotals="1" fieldPosition="0">
          <references count="2">
            <reference field="4294967294" count="1" selected="0">
              <x v="12"/>
            </reference>
            <reference field="10" count="0" selected="0"/>
          </references>
        </pivotArea>
      </pivotAreas>
    </conditionalFormat>
    <conditionalFormat scope="field" priority="9">
      <pivotAreas count="1">
        <pivotArea outline="0" collapsedLevelsAreSubtotals="1" fieldPosition="0">
          <references count="2">
            <reference field="4294967294" count="1" selected="0">
              <x v="9"/>
            </reference>
            <reference field="10" count="0" selected="0"/>
          </references>
        </pivotArea>
      </pivotAreas>
    </conditionalFormat>
    <conditionalFormat scope="field" priority="10">
      <pivotAreas count="1">
        <pivotArea outline="0" collapsedLevelsAreSubtotals="1" fieldPosition="0">
          <references count="2">
            <reference field="4294967294" count="1" selected="0">
              <x v="8"/>
            </reference>
            <reference field="10" count="0" selected="0"/>
          </references>
        </pivotArea>
      </pivotAreas>
    </conditionalFormat>
    <conditionalFormat scope="data" priority="12">
      <pivotAreas count="1">
        <pivotArea outline="0" fieldPosition="0">
          <references count="1">
            <reference field="4294967294" count="1" selected="0">
              <x v="4"/>
            </reference>
          </references>
        </pivotArea>
      </pivotAreas>
    </conditionalFormat>
    <conditionalFormat scope="field" priority="13">
      <pivotAreas count="1">
        <pivotArea outline="0" collapsedLevelsAreSubtotals="1" fieldPosition="0">
          <references count="2">
            <reference field="4294967294" count="1" selected="0">
              <x v="6"/>
            </reference>
            <reference field="10" count="0" selected="0"/>
          </references>
        </pivotArea>
      </pivotAreas>
    </conditionalFormat>
    <conditionalFormat scope="field" priority="15">
      <pivotAreas count="1">
        <pivotArea outline="0" collapsedLevelsAreSubtotals="1" fieldPosition="0">
          <references count="2">
            <reference field="4294967294" count="1" selected="0">
              <x v="0"/>
            </reference>
            <reference field="10" count="0" selected="0"/>
          </references>
        </pivotArea>
      </pivotAreas>
    </conditionalFormat>
  </conditional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48F7AE-D2CD-41C2-B8C5-137752970A07}" name="duration_trend" cacheId="0" applyNumberFormats="0" applyBorderFormats="0" applyFontFormats="0" applyPatternFormats="0" applyAlignmentFormats="0" applyWidthHeightFormats="1" dataCaption="Values" updatedVersion="8" minRefreshableVersion="5" itemPrintTitles="1" createdVersion="8" indent="0" outline="1" outlineData="1" chartFormat="3" rowHeaderCaption="">
  <location ref="M113:N129" firstHeaderRow="1" firstDataRow="1" firstDataCol="1"/>
  <pivotFields count="27">
    <pivotField showAll="0"/>
    <pivotField numFmtId="164"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umFmtId="164" showAll="0"/>
    <pivotField showAll="0"/>
    <pivotField showAll="0"/>
    <pivotField showAll="0"/>
    <pivotField dataField="1" showAll="0"/>
    <pivotField showAll="0"/>
    <pivotField axis="axisRow" showAll="0">
      <items count="3">
        <item x="0"/>
        <item x="1"/>
        <item t="default"/>
      </items>
    </pivotField>
    <pivotField showAll="0"/>
    <pivotField axis="axisRow" showAll="0">
      <items count="13">
        <item x="3"/>
        <item x="4"/>
        <item x="5"/>
        <item x="6"/>
        <item x="7"/>
        <item x="8"/>
        <item x="9"/>
        <item x="10"/>
        <item x="11"/>
        <item x="0"/>
        <item x="1"/>
        <item x="2"/>
        <item t="default"/>
      </items>
    </pivotField>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1"/>
        <item x="0"/>
        <item x="2"/>
        <item t="default"/>
      </items>
    </pivotField>
    <pivotField showAll="0"/>
    <pivotField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8"/>
    <field x="10"/>
  </rowFields>
  <rowItems count="16">
    <i>
      <x/>
    </i>
    <i r="1">
      <x v="9"/>
    </i>
    <i r="1">
      <x v="10"/>
    </i>
    <i r="1">
      <x v="11"/>
    </i>
    <i>
      <x v="1"/>
    </i>
    <i r="1">
      <x/>
    </i>
    <i r="1">
      <x v="1"/>
    </i>
    <i r="1">
      <x v="2"/>
    </i>
    <i r="1">
      <x v="3"/>
    </i>
    <i r="1">
      <x v="4"/>
    </i>
    <i r="1">
      <x v="5"/>
    </i>
    <i r="1">
      <x v="6"/>
    </i>
    <i r="1">
      <x v="7"/>
    </i>
    <i r="1">
      <x v="8"/>
    </i>
    <i r="1">
      <x v="9"/>
    </i>
    <i t="grand">
      <x/>
    </i>
  </rowItems>
  <colItems count="1">
    <i/>
  </colItems>
  <dataFields count="1">
    <dataField name="Avg_Session_Duration_Min" fld="6"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7FE42-9DEB-4F2B-9665-AE593F956E49}" name="kpm_trend" cacheId="0" applyNumberFormats="0" applyBorderFormats="0" applyFontFormats="0" applyPatternFormats="0" applyAlignmentFormats="0" applyWidthHeightFormats="1" dataCaption="Values" updatedVersion="8" minRefreshableVersion="5" itemPrintTitles="1" createdVersion="8" indent="0" outline="1" outlineData="1" chartFormat="9" rowHeaderCaption="">
  <location ref="B113:D129" firstHeaderRow="0" firstDataRow="1" firstDataCol="1"/>
  <pivotFields count="27">
    <pivotField showAll="0"/>
    <pivotField numFmtId="164"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umFmtId="164" showAll="0"/>
    <pivotField showAll="0"/>
    <pivotField showAll="0"/>
    <pivotField showAll="0"/>
    <pivotField showAll="0"/>
    <pivotField showAll="0"/>
    <pivotField axis="axisRow" showAll="0">
      <items count="3">
        <item x="0"/>
        <item x="1"/>
        <item t="default"/>
      </items>
    </pivotField>
    <pivotField showAll="0"/>
    <pivotField axis="axisRow" showAll="0">
      <items count="13">
        <item x="3"/>
        <item x="4"/>
        <item x="5"/>
        <item x="6"/>
        <item x="7"/>
        <item x="8"/>
        <item x="9"/>
        <item x="10"/>
        <item x="11"/>
        <item x="0"/>
        <item x="1"/>
        <item x="2"/>
        <item t="default"/>
      </items>
    </pivotField>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1"/>
        <item x="0"/>
        <item x="2"/>
        <item t="default"/>
      </items>
    </pivotField>
    <pivotField showAll="0"/>
    <pivotField showAll="0"/>
    <pivotField showAll="0"/>
    <pivotField showAll="0">
      <items count="4">
        <item x="0"/>
        <item x="1"/>
        <item x="2"/>
        <item t="default"/>
      </items>
    </pivotField>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2">
    <field x="8"/>
    <field x="10"/>
  </rowFields>
  <rowItems count="16">
    <i>
      <x/>
    </i>
    <i r="1">
      <x v="9"/>
    </i>
    <i r="1">
      <x v="10"/>
    </i>
    <i r="1">
      <x v="11"/>
    </i>
    <i>
      <x v="1"/>
    </i>
    <i r="1">
      <x/>
    </i>
    <i r="1">
      <x v="1"/>
    </i>
    <i r="1">
      <x v="2"/>
    </i>
    <i r="1">
      <x v="3"/>
    </i>
    <i r="1">
      <x v="4"/>
    </i>
    <i r="1">
      <x v="5"/>
    </i>
    <i r="1">
      <x v="6"/>
    </i>
    <i r="1">
      <x v="7"/>
    </i>
    <i r="1">
      <x v="8"/>
    </i>
    <i r="1">
      <x v="9"/>
    </i>
    <i t="grand">
      <x/>
    </i>
  </rowItems>
  <colFields count="1">
    <field x="-2"/>
  </colFields>
  <colItems count="2">
    <i>
      <x/>
    </i>
    <i i="1">
      <x v="1"/>
    </i>
  </colItems>
  <dataFields count="2">
    <dataField name="Playtime_hr_" fld="25" baseField="0" baseItem="0" numFmtId="2"/>
    <dataField name="Sum of Kills_Per_Min" fld="26" baseField="0" baseItem="0" numFmtId="2"/>
  </dataFields>
  <chartFormats count="2">
    <chartFormat chart="0" format="3"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6E30C9-57FA-4384-AA1A-D5A73593CC34}" name="hs_trend" cacheId="0" applyNumberFormats="0" applyBorderFormats="0" applyFontFormats="0" applyPatternFormats="0" applyAlignmentFormats="0" applyWidthHeightFormats="1" dataCaption="Values" updatedVersion="8" minRefreshableVersion="5" itemPrintTitles="1" createdVersion="8" indent="0" outline="1" outlineData="1" chartFormat="4" rowHeaderCaption="">
  <location ref="J113:K129" firstHeaderRow="1" firstDataRow="1" firstDataCol="1"/>
  <pivotFields count="27">
    <pivotField showAll="0"/>
    <pivotField numFmtId="164"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umFmtId="164" showAll="0"/>
    <pivotField showAll="0"/>
    <pivotField showAll="0"/>
    <pivotField showAll="0"/>
    <pivotField showAll="0"/>
    <pivotField showAll="0"/>
    <pivotField axis="axisRow" showAll="0">
      <items count="3">
        <item x="0"/>
        <item x="1"/>
        <item t="default"/>
      </items>
    </pivotField>
    <pivotField showAll="0"/>
    <pivotField axis="axisRow" showAll="0">
      <items count="13">
        <item x="3"/>
        <item x="4"/>
        <item x="5"/>
        <item x="6"/>
        <item x="7"/>
        <item x="8"/>
        <item x="9"/>
        <item x="10"/>
        <item x="11"/>
        <item x="0"/>
        <item x="1"/>
        <item x="2"/>
        <item t="default"/>
      </items>
    </pivotField>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1"/>
        <item x="0"/>
        <item x="2"/>
        <item t="default"/>
      </items>
    </pivotField>
    <pivotField showAll="0"/>
    <pivotField showAll="0"/>
    <pivotField showAll="0"/>
    <pivotField showAll="0">
      <items count="4">
        <item x="0"/>
        <item x="1"/>
        <item x="2"/>
        <item t="default"/>
      </items>
    </pivotField>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8"/>
    <field x="10"/>
  </rowFields>
  <rowItems count="16">
    <i>
      <x/>
    </i>
    <i r="1">
      <x v="9"/>
    </i>
    <i r="1">
      <x v="10"/>
    </i>
    <i r="1">
      <x v="11"/>
    </i>
    <i>
      <x v="1"/>
    </i>
    <i r="1">
      <x/>
    </i>
    <i r="1">
      <x v="1"/>
    </i>
    <i r="1">
      <x v="2"/>
    </i>
    <i r="1">
      <x v="3"/>
    </i>
    <i r="1">
      <x v="4"/>
    </i>
    <i r="1">
      <x v="5"/>
    </i>
    <i r="1">
      <x v="6"/>
    </i>
    <i r="1">
      <x v="7"/>
    </i>
    <i r="1">
      <x v="8"/>
    </i>
    <i r="1">
      <x v="9"/>
    </i>
    <i t="grand">
      <x/>
    </i>
  </rowItems>
  <colItems count="1">
    <i/>
  </colItems>
  <dataFields count="1">
    <dataField name="_HS%" fld="24"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D1CEFE-0259-400B-A93F-DB4C9DFDC5AF}" name="kdr_trend" cacheId="0" applyNumberFormats="0" applyBorderFormats="0" applyFontFormats="0" applyPatternFormats="0" applyAlignmentFormats="0" applyWidthHeightFormats="1" dataCaption="Values" updatedVersion="8" minRefreshableVersion="5" itemPrintTitles="1" createdVersion="8" indent="0" outline="1" outlineData="1" chartFormat="22" rowHeaderCaption="">
  <location ref="F113:H129" firstHeaderRow="0" firstDataRow="1" firstDataCol="1"/>
  <pivotFields count="27">
    <pivotField dataField="1" showAll="0"/>
    <pivotField numFmtId="164"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umFmtId="164" showAll="0"/>
    <pivotField showAll="0"/>
    <pivotField showAll="0"/>
    <pivotField showAll="0"/>
    <pivotField showAll="0"/>
    <pivotField showAll="0"/>
    <pivotField axis="axisRow" showAll="0">
      <items count="3">
        <item x="0"/>
        <item x="1"/>
        <item t="default"/>
      </items>
    </pivotField>
    <pivotField showAll="0"/>
    <pivotField axis="axisRow" showAll="0">
      <items count="13">
        <item x="3"/>
        <item x="4"/>
        <item x="5"/>
        <item x="6"/>
        <item x="7"/>
        <item x="8"/>
        <item x="9"/>
        <item x="10"/>
        <item x="11"/>
        <item x="0"/>
        <item x="1"/>
        <item x="2"/>
        <item t="default"/>
      </items>
    </pivotField>
    <pivotField showAll="0"/>
    <pivotField showAll="0"/>
    <pivotField showAll="0"/>
    <pivotField showAll="0">
      <items count="3">
        <item x="0"/>
        <item x="1"/>
        <item t="default"/>
      </items>
    </pivotField>
    <pivotField showAll="0"/>
    <pivotField showAll="0">
      <items count="5">
        <item x="3"/>
        <item x="0"/>
        <item x="2"/>
        <item x="1"/>
        <item t="default"/>
      </items>
    </pivotField>
    <pivotField showAll="0">
      <items count="4">
        <item x="1"/>
        <item x="0"/>
        <item x="2"/>
        <item t="default"/>
      </items>
    </pivotField>
    <pivotField showAll="0"/>
    <pivotField showAll="0"/>
    <pivotField showAll="0"/>
    <pivotField showAll="0">
      <items count="4">
        <item x="0"/>
        <item x="1"/>
        <item x="2"/>
        <item t="default"/>
      </items>
    </pivotField>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8"/>
    <field x="10"/>
  </rowFields>
  <rowItems count="16">
    <i>
      <x/>
    </i>
    <i r="1">
      <x v="9"/>
    </i>
    <i r="1">
      <x v="10"/>
    </i>
    <i r="1">
      <x v="11"/>
    </i>
    <i>
      <x v="1"/>
    </i>
    <i r="1">
      <x/>
    </i>
    <i r="1">
      <x v="1"/>
    </i>
    <i r="1">
      <x v="2"/>
    </i>
    <i r="1">
      <x v="3"/>
    </i>
    <i r="1">
      <x v="4"/>
    </i>
    <i r="1">
      <x v="5"/>
    </i>
    <i r="1">
      <x v="6"/>
    </i>
    <i r="1">
      <x v="7"/>
    </i>
    <i r="1">
      <x v="8"/>
    </i>
    <i r="1">
      <x v="9"/>
    </i>
    <i t="grand">
      <x/>
    </i>
  </rowItems>
  <colFields count="1">
    <field x="-2"/>
  </colFields>
  <colItems count="2">
    <i>
      <x/>
    </i>
    <i i="1">
      <x v="1"/>
    </i>
  </colItems>
  <dataFields count="2">
    <dataField name="Sessions" fld="0" subtotal="count" baseField="0" baseItem="0"/>
    <dataField name="_KDR" fld="23" baseField="0" baseItem="0" numFmtId="2"/>
  </dataFields>
  <chartFormats count="2">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F2B42E-1512-44BD-83EE-D7213435E144}" autoFormatId="16" applyNumberFormats="0" applyBorderFormats="0" applyFontFormats="0" applyPatternFormats="0" applyAlignmentFormats="0" applyWidthHeightFormats="0">
  <queryTableRefresh nextId="28" unboundColumnsRight="15">
    <queryTableFields count="23">
      <queryTableField id="1" name="session_id" tableColumnId="1"/>
      <queryTableField id="2" name="session_start" tableColumnId="2"/>
      <queryTableField id="3" name="session_end" tableColumnId="3"/>
      <queryTableField id="4" name="headshots" tableColumnId="4"/>
      <queryTableField id="5" name="kills" tableColumnId="5"/>
      <queryTableField id="6" name="deaths" tableColumnId="6"/>
      <queryTableField id="7" name="session_duration_min" tableColumnId="7"/>
      <queryTableField id="8" name="downtime_min" tableColumnId="8"/>
      <queryTableField id="11" dataBound="0" tableColumnId="11"/>
      <queryTableField id="12" dataBound="0" tableColumnId="12"/>
      <queryTableField id="26" dataBound="0" tableColumnId="9"/>
      <queryTableField id="13" dataBound="0" tableColumnId="13"/>
      <queryTableField id="14" dataBound="0" tableColumnId="14"/>
      <queryTableField id="18" dataBound="0" tableColumnId="18"/>
      <queryTableField id="15" dataBound="0" tableColumnId="15"/>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7"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category" xr10:uid="{DC11256E-F21A-42DD-9459-4439D71C887A}" sourceName="duration_category">
  <pivotTables>
    <pivotTable tabId="4" name="time_series"/>
    <pivotTable tabId="4" name="duration_trend"/>
    <pivotTable tabId="4" name="hs_trend"/>
    <pivotTable tabId="4" name="kdr_trend"/>
    <pivotTable tabId="4" name="kpm_trend"/>
  </pivotTables>
  <data>
    <tabular pivotCacheId="7201699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quality" xr10:uid="{510D4DA4-A819-4C88-AC2A-48BEA8C7A47E}" sourceName="session_quality">
  <pivotTables>
    <pivotTable tabId="4" name="time_series"/>
    <pivotTable tabId="4" name="duration_trend"/>
    <pivotTable tabId="4" name="hs_trend"/>
    <pivotTable tabId="4" name="kdr_trend"/>
    <pivotTable tabId="4" name="kpm_trend"/>
  </pivotTables>
  <data>
    <tabular pivotCacheId="7201699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 xr10:uid="{35A7B1CB-2BAE-4DBB-BEBC-DC97F8D28FFA}" sourceName="is_weekend">
  <pivotTables>
    <pivotTable tabId="4" name="time_series"/>
    <pivotTable tabId="4" name="duration_trend"/>
    <pivotTable tabId="4" name="hs_trend"/>
    <pivotTable tabId="4" name="kdr_trend"/>
    <pivotTable tabId="4" name="kpm_trend"/>
  </pivotTables>
  <data>
    <tabular pivotCacheId="7201699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part" xr10:uid="{8FFBC0F1-0C2A-4D11-997D-99D87FBF2EE8}" sourceName="day_part">
  <pivotTables>
    <pivotTable tabId="4" name="time_series"/>
    <pivotTable tabId="4" name="duration_trend"/>
    <pivotTable tabId="4" name="hs_trend"/>
    <pivotTable tabId="4" name="kdr_trend"/>
    <pivotTable tabId="4" name="kpm_trend"/>
  </pivotTables>
  <data>
    <tabular pivotCacheId="7201699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_category" xr10:uid="{CECEF909-2478-4186-991E-FAD1DEB772A7}" cache="Slicer_duration_category" caption="duration_category" columnCount="3" style="SlicerStyleOther1" rowHeight="257175"/>
  <slicer name="session_quality" xr10:uid="{602842EC-32E2-4BE6-88EE-581DCF01E6FF}" cache="Slicer_session_quality" caption="session_quality" columnCount="3" style="SlicerStyleOther1" rowHeight="257175"/>
  <slicer name="is_weekend" xr10:uid="{6FD089A0-9A70-47F2-A681-1FB1DAF8B641}" cache="Slicer_is_weekend" caption="is_weekend" columnCount="2" style="SlicerStyleOther1" rowHeight="257175"/>
  <slicer name="day_part" xr10:uid="{ED537134-2A5E-4C18-A960-A9E803380E6A}" cache="Slicer_day_part" caption="day_part" columnCount="4" style="SlicerStyleOther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AE621D-79E1-4DA6-B8A1-0220800532DD}" name="data" displayName="data" ref="A1:W111" tableType="queryTable" totalsRowShown="0">
  <autoFilter ref="A1:W111" xr:uid="{FAAE621D-79E1-4DA6-B8A1-0220800532DD}"/>
  <sortState xmlns:xlrd2="http://schemas.microsoft.com/office/spreadsheetml/2017/richdata2" ref="A2:V111">
    <sortCondition ref="A1:A111"/>
  </sortState>
  <tableColumns count="23">
    <tableColumn id="1" xr3:uid="{2960C653-5681-46EC-A700-B9A5B9ABF6F4}" uniqueName="1" name="session_id" queryTableFieldId="1"/>
    <tableColumn id="2" xr3:uid="{C6978CA2-BBA2-48AF-93A3-4D9B35EFBA42}" uniqueName="2" name="session_start" queryTableFieldId="2" dataDxfId="21"/>
    <tableColumn id="3" xr3:uid="{A436116E-0E86-4260-AED7-065344C0E115}" uniqueName="3" name="session_end" queryTableFieldId="3" dataDxfId="20"/>
    <tableColumn id="4" xr3:uid="{0112697B-B69A-48CE-9146-493559009DF4}" uniqueName="4" name="headshots" queryTableFieldId="4"/>
    <tableColumn id="5" xr3:uid="{B7D5C4D9-2A77-4FE8-8BCB-41C883FBAA3F}" uniqueName="5" name="kills" queryTableFieldId="5"/>
    <tableColumn id="6" xr3:uid="{7FD82858-241B-4E77-8B73-631D298E88BA}" uniqueName="6" name="deaths" queryTableFieldId="6"/>
    <tableColumn id="7" xr3:uid="{8A04169D-3B36-42F9-8AA8-22F16262C8F4}" uniqueName="7" name="session_duration_min" queryTableFieldId="7"/>
    <tableColumn id="8" xr3:uid="{8E6245F7-02ED-4A7C-8C5B-A3DC4A2DEC00}" uniqueName="8" name="downtime_min" queryTableFieldId="8"/>
    <tableColumn id="11" xr3:uid="{63B3552D-3FE3-4682-9DD4-E5A7CC95B8B7}" uniqueName="11" name="year" queryTableFieldId="11" dataDxfId="19">
      <calculatedColumnFormula>YEAR(data[[#This Row],[session_start]])</calculatedColumnFormula>
    </tableColumn>
    <tableColumn id="12" xr3:uid="{34A97F80-6996-48E7-A76A-7B2AB9001623}" uniqueName="12" name="month" queryTableFieldId="12" dataDxfId="18">
      <calculatedColumnFormula>MONTH(data[[#This Row],[session_start]])</calculatedColumnFormula>
    </tableColumn>
    <tableColumn id="9" xr3:uid="{EB2B0A86-D38E-4A23-969B-A776EEDD31FC}" uniqueName="9" name="month_name" queryTableFieldId="26" dataDxfId="17">
      <calculatedColumnFormula>TEXT(data[[#This Row],[session_start]], "mmmm")</calculatedColumnFormula>
    </tableColumn>
    <tableColumn id="13" xr3:uid="{0C558BE2-D696-4A3E-B4AC-E2755ABC95C5}" uniqueName="13" name="week" queryTableFieldId="13" dataDxfId="16">
      <calculatedColumnFormula>WEEKNUM(data[[#This Row],[session_start]])</calculatedColumnFormula>
    </tableColumn>
    <tableColumn id="14" xr3:uid="{8445CA3E-0C2A-4D63-A3C6-7E48A9AF4D95}" uniqueName="14" name="day_of_week" queryTableFieldId="14" dataDxfId="15">
      <calculatedColumnFormula>WEEKDAY(data[[#This Row],[session_start]],2)</calculatedColumnFormula>
    </tableColumn>
    <tableColumn id="18" xr3:uid="{CC16AFDC-213D-40B5-A3E5-F3DC6D81314D}" uniqueName="18" name="day_of_week_name" queryTableFieldId="18" dataDxfId="14">
      <calculatedColumnFormula>TEXT(data[[#This Row],[session_start]],"dddd")</calculatedColumnFormula>
    </tableColumn>
    <tableColumn id="15" xr3:uid="{6022D90A-0E76-496B-A7F4-51D46A7E61B0}" uniqueName="15" name="is_weekend" queryTableFieldId="15" dataDxfId="13">
      <calculatedColumnFormula>IF(data[[#This Row],[day_of_week]]&gt;5,1,0)</calculatedColumnFormula>
    </tableColumn>
    <tableColumn id="19" xr3:uid="{D4FA3EB0-FF05-430E-9752-DA9DC2B1E7D9}" uniqueName="19" name="hour" queryTableFieldId="19" dataDxfId="12">
      <calculatedColumnFormula>HOUR(data[[#This Row],[session_start]])</calculatedColumnFormula>
    </tableColumn>
    <tableColumn id="20" xr3:uid="{4100C53D-DD94-4536-90F2-8060FD61FA4F}" uniqueName="20" name="day_part" queryTableFieldId="20" dataDxfId="11">
      <calculatedColumnFormula array="1">_xlfn.SWITCH(TRUE, AND(data[[#This Row],[hour]]&gt;=6, data[[#This Row],[hour]]&lt;=11), "Morning", AND(data[[#This Row],[hour]]&gt;=12, data[[#This Row],[hour]]&lt;=17), "Afternoon", AND(data[[#This Row],[hour]]&gt;=18, data[[#This Row],[hour]]&lt;=23), "Evening", TRUE, "Night")</calculatedColumnFormula>
    </tableColumn>
    <tableColumn id="21" xr3:uid="{CE49FF47-2407-44C4-A87E-C6B4A5071645}" uniqueName="21" name="duration_category" queryTableFieldId="21" dataDxfId="10">
      <calculatedColumnFormula array="1">_xlfn.IFS(data[[#This Row],[session_duration_min]]&lt;=15, "Short", data[[#This Row],[session_duration_min]]&lt;=45, "Medium",  TRUE, "Long")</calculatedColumnFormula>
    </tableColumn>
    <tableColumn id="22" xr3:uid="{EDE0D639-18B6-4B05-8F55-249E4BC1454B}" uniqueName="22" name="session_kdr" queryTableFieldId="22" dataDxfId="9">
      <calculatedColumnFormula>IFERROR( ROUND(data[[#This Row],[kills]]/data[[#This Row],[deaths]],2), 0)</calculatedColumnFormula>
    </tableColumn>
    <tableColumn id="23" xr3:uid="{C4064D6A-4818-446E-B040-8F0EE56B787A}" uniqueName="23" name="session_hs_pct" queryTableFieldId="23" dataDxfId="8">
      <calculatedColumnFormula>IFERROR( ROUND(data[[#This Row],[headshots]]/data[[#This Row],[kills]]*100,2),0)</calculatedColumnFormula>
    </tableColumn>
    <tableColumn id="24" xr3:uid="{0ABB743F-20A5-4991-8AC3-588C14CEA6B5}" uniqueName="24" name="sessions_kills_per_min" queryTableFieldId="24" dataDxfId="7">
      <calculatedColumnFormula>ROUND(data[[#This Row],[kills]]/data[[#This Row],[session_duration_min]],2)</calculatedColumnFormula>
    </tableColumn>
    <tableColumn id="25" xr3:uid="{D96C66BC-DB21-4BFD-AEE3-3D419C7FC016}" uniqueName="25" name="session_quality" queryTableFieldId="25" dataDxfId="6">
      <calculatedColumnFormula array="1">_xlfn.SWITCH(TRUE,AND(data[[#This Row],[session_kdr]]&gt;=1.8,data[[#This Row],[session_hs_pct]]&gt;=70),"Good",AND(data[[#This Row],[session_kdr]]&gt;=1.2,data[[#This Row],[session_hs_pct]]&gt;=50),"Average",TRUE,"Poor")</calculatedColumnFormula>
    </tableColumn>
    <tableColumn id="10" xr3:uid="{DF8467BC-DF40-4BE0-BEA5-1B9D1662ED2B}" uniqueName="10" name="is_poor_session" queryTableFieldId="27" dataDxfId="5">
      <calculatedColumnFormula>IF(data[[#This Row],[session_quality]]="Poor", 1,0)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ession_start" xr10:uid="{99221591-DDE9-4335-BDB8-FD8D6D88C45C}" sourceName="session_start">
  <pivotTables>
    <pivotTable tabId="4" name="time_series"/>
    <pivotTable tabId="4" name="duration_trend"/>
    <pivotTable tabId="4" name="hs_trend"/>
    <pivotTable tabId="4" name="kdr_trend"/>
    <pivotTable tabId="4" name="kpm_trend"/>
  </pivotTables>
  <state minimalRefreshVersion="6" lastRefreshVersion="6" pivotCacheId="72016996" filterType="unknown">
    <bounds startDate="2025-01-01T23:16:35" endDate="2027-01-01T23:34:0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ession_start" xr10:uid="{8BF329D0-CDD6-452E-8E50-998F8C4774FD}" cache="NativeTimeline_session_start" caption="session_start" level="0" selectionLevel="0"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FB740-1B2E-48B9-8E64-D20F66F5529C}">
  <dimension ref="A1:W111"/>
  <sheetViews>
    <sheetView workbookViewId="0">
      <selection activeCell="A111" sqref="A111"/>
    </sheetView>
  </sheetViews>
  <sheetFormatPr defaultColWidth="12.7109375" defaultRowHeight="15" x14ac:dyDescent="0.25"/>
  <cols>
    <col min="1" max="1" width="12.85546875" bestFit="1" customWidth="1"/>
    <col min="2" max="3" width="18.28515625" bestFit="1" customWidth="1"/>
    <col min="4" max="4" width="12.7109375" bestFit="1" customWidth="1"/>
    <col min="5" max="5" width="7" bestFit="1" customWidth="1"/>
    <col min="6" max="6" width="9.42578125" bestFit="1" customWidth="1"/>
    <col min="7" max="7" width="23.28515625" bestFit="1" customWidth="1"/>
    <col min="8" max="8" width="16.7109375" bestFit="1" customWidth="1"/>
    <col min="9" max="9" width="7.140625" bestFit="1" customWidth="1"/>
    <col min="10" max="10" width="9.140625" bestFit="1" customWidth="1"/>
    <col min="11" max="11" width="15" bestFit="1" customWidth="1"/>
    <col min="12" max="12" width="8" bestFit="1" customWidth="1"/>
    <col min="13" max="13" width="14.7109375" bestFit="1" customWidth="1"/>
    <col min="14" max="14" width="20.85546875" bestFit="1" customWidth="1"/>
    <col min="15" max="15" width="13.85546875" bestFit="1" customWidth="1"/>
    <col min="16" max="16" width="7.42578125" bestFit="1" customWidth="1"/>
    <col min="17" max="17" width="10.85546875" bestFit="1" customWidth="1"/>
    <col min="18" max="18" width="19.7109375" bestFit="1" customWidth="1"/>
    <col min="19" max="19" width="14" bestFit="1" customWidth="1"/>
    <col min="20" max="20" width="17.140625" bestFit="1" customWidth="1"/>
    <col min="21" max="21" width="24.42578125" bestFit="1" customWidth="1"/>
    <col min="22" max="22" width="17.42578125" bestFit="1" customWidth="1"/>
  </cols>
  <sheetData>
    <row r="1" spans="1:23" x14ac:dyDescent="0.25">
      <c r="A1" t="s">
        <v>0</v>
      </c>
      <c r="B1" t="s">
        <v>1</v>
      </c>
      <c r="C1" t="s">
        <v>2</v>
      </c>
      <c r="D1" t="s">
        <v>3</v>
      </c>
      <c r="E1" t="s">
        <v>4</v>
      </c>
      <c r="F1" t="s">
        <v>5</v>
      </c>
      <c r="G1" t="s">
        <v>6</v>
      </c>
      <c r="H1" t="s">
        <v>7</v>
      </c>
      <c r="I1" t="s">
        <v>8</v>
      </c>
      <c r="J1" t="s">
        <v>9</v>
      </c>
      <c r="K1" t="s">
        <v>47</v>
      </c>
      <c r="L1" t="s">
        <v>10</v>
      </c>
      <c r="M1" t="s">
        <v>11</v>
      </c>
      <c r="N1" t="s">
        <v>19</v>
      </c>
      <c r="O1" t="s">
        <v>12</v>
      </c>
      <c r="P1" t="s">
        <v>13</v>
      </c>
      <c r="Q1" t="s">
        <v>14</v>
      </c>
      <c r="R1" t="s">
        <v>15</v>
      </c>
      <c r="S1" t="s">
        <v>16</v>
      </c>
      <c r="T1" t="s">
        <v>17</v>
      </c>
      <c r="U1" t="s">
        <v>20</v>
      </c>
      <c r="V1" t="s">
        <v>18</v>
      </c>
      <c r="W1" t="s">
        <v>76</v>
      </c>
    </row>
    <row r="2" spans="1:23" x14ac:dyDescent="0.25">
      <c r="A2">
        <v>1</v>
      </c>
      <c r="B2" s="1">
        <v>45961.969849537039</v>
      </c>
      <c r="C2" s="1">
        <v>45961.990011574075</v>
      </c>
      <c r="D2">
        <v>20</v>
      </c>
      <c r="E2">
        <v>26</v>
      </c>
      <c r="F2">
        <v>19</v>
      </c>
      <c r="G2">
        <v>26.483333333333334</v>
      </c>
      <c r="H2">
        <v>2.5499999999999998</v>
      </c>
      <c r="I2">
        <f>YEAR(data[[#This Row],[session_start]])</f>
        <v>2025</v>
      </c>
      <c r="J2">
        <f>MONTH(data[[#This Row],[session_start]])</f>
        <v>10</v>
      </c>
      <c r="K2" t="str">
        <f>TEXT(data[[#This Row],[session_start]], "mmmm")</f>
        <v>October</v>
      </c>
      <c r="L2">
        <f>WEEKNUM(data[[#This Row],[session_start]])</f>
        <v>44</v>
      </c>
      <c r="M2">
        <f>WEEKDAY(data[[#This Row],[session_start]],2)</f>
        <v>5</v>
      </c>
      <c r="N2" t="str">
        <f>TEXT(data[[#This Row],[session_start]],"dddd")</f>
        <v>Friday</v>
      </c>
      <c r="O2">
        <f>IF(data[[#This Row],[day_of_week]]&gt;5,1,0)</f>
        <v>0</v>
      </c>
      <c r="P2">
        <f>HOUR(data[[#This Row],[session_start]])</f>
        <v>23</v>
      </c>
      <c r="Q2" t="str" cm="1">
        <f t="array" ref="Q2">_xlfn.SWITCH(TRUE, AND(data[[#This Row],[hour]]&gt;=6, data[[#This Row],[hour]]&lt;=11), "Morning", AND(data[[#This Row],[hour]]&gt;=12, data[[#This Row],[hour]]&lt;=17), "Afternoon", AND(data[[#This Row],[hour]]&gt;=18, data[[#This Row],[hour]]&lt;=23), "Evening", TRUE, "Night")</f>
        <v>Evening</v>
      </c>
      <c r="R2" t="str" cm="1">
        <f t="array" ref="R2">_xlfn.IFS(data[[#This Row],[session_duration_min]]&lt;=15, "Short", data[[#This Row],[session_duration_min]]&lt;=45, "Medium",  TRUE, "Long")</f>
        <v>Medium</v>
      </c>
      <c r="S2">
        <f>IFERROR( ROUND(data[[#This Row],[kills]]/data[[#This Row],[deaths]],2), 0)</f>
        <v>1.37</v>
      </c>
      <c r="T2">
        <f>IFERROR( ROUND(data[[#This Row],[headshots]]/data[[#This Row],[kills]]*100,2),0)</f>
        <v>76.92</v>
      </c>
      <c r="U2">
        <f>ROUND(data[[#This Row],[kills]]/data[[#This Row],[session_duration_min]],2)</f>
        <v>0.98</v>
      </c>
      <c r="V2" t="str" cm="1">
        <f t="array" ref="V2">_xlfn.SWITCH(TRUE,AND(data[[#This Row],[session_kdr]]&gt;=1.8,data[[#This Row],[session_hs_pct]]&gt;=70),"Good",AND(data[[#This Row],[session_kdr]]&gt;=1.2,data[[#This Row],[session_hs_pct]]&gt;=50),"Average",TRUE,"Poor")</f>
        <v>Average</v>
      </c>
      <c r="W2">
        <f>IF(data[[#This Row],[session_quality]]="Poor", 1,0)</f>
        <v>0</v>
      </c>
    </row>
    <row r="3" spans="1:23" x14ac:dyDescent="0.25">
      <c r="A3">
        <v>2</v>
      </c>
      <c r="B3" s="1">
        <v>45962.035451388889</v>
      </c>
      <c r="C3" s="1">
        <v>45962.072129629632</v>
      </c>
      <c r="D3">
        <v>61</v>
      </c>
      <c r="E3">
        <v>76</v>
      </c>
      <c r="F3">
        <v>42</v>
      </c>
      <c r="G3">
        <v>52.7</v>
      </c>
      <c r="H3">
        <v>0.11666666666666667</v>
      </c>
      <c r="I3">
        <f>YEAR(data[[#This Row],[session_start]])</f>
        <v>2025</v>
      </c>
      <c r="J3">
        <f>MONTH(data[[#This Row],[session_start]])</f>
        <v>11</v>
      </c>
      <c r="K3" t="str">
        <f>TEXT(data[[#This Row],[session_start]], "mmmm")</f>
        <v>November</v>
      </c>
      <c r="L3">
        <f>WEEKNUM(data[[#This Row],[session_start]])</f>
        <v>44</v>
      </c>
      <c r="M3">
        <f>WEEKDAY(data[[#This Row],[session_start]],2)</f>
        <v>6</v>
      </c>
      <c r="N3" t="str">
        <f>TEXT(data[[#This Row],[session_start]],"dddd")</f>
        <v>Saturday</v>
      </c>
      <c r="O3">
        <f>IF(data[[#This Row],[day_of_week]]&gt;5,1,0)</f>
        <v>1</v>
      </c>
      <c r="P3">
        <f>HOUR(data[[#This Row],[session_start]])</f>
        <v>0</v>
      </c>
      <c r="Q3" t="str" cm="1">
        <f t="array" ref="Q3">_xlfn.SWITCH(TRUE, AND(data[[#This Row],[hour]]&gt;=6, data[[#This Row],[hour]]&lt;=11), "Morning", AND(data[[#This Row],[hour]]&gt;=12, data[[#This Row],[hour]]&lt;=17), "Afternoon", AND(data[[#This Row],[hour]]&gt;=18, data[[#This Row],[hour]]&lt;=23), "Evening", TRUE, "Night")</f>
        <v>Night</v>
      </c>
      <c r="R3" t="str" cm="1">
        <f t="array" ref="R3">_xlfn.IFS(data[[#This Row],[session_duration_min]]&lt;=15, "Short", data[[#This Row],[session_duration_min]]&lt;=45, "Medium",  TRUE, "Long")</f>
        <v>Long</v>
      </c>
      <c r="S3">
        <f>IFERROR( ROUND(data[[#This Row],[kills]]/data[[#This Row],[deaths]],2), 0)</f>
        <v>1.81</v>
      </c>
      <c r="T3">
        <f>IFERROR( ROUND(data[[#This Row],[headshots]]/data[[#This Row],[kills]]*100,2),0)</f>
        <v>80.260000000000005</v>
      </c>
      <c r="U3">
        <f>ROUND(data[[#This Row],[kills]]/data[[#This Row],[session_duration_min]],2)</f>
        <v>1.44</v>
      </c>
      <c r="V3" t="str" cm="1">
        <f t="array" ref="V3">_xlfn.SWITCH(TRUE,AND(data[[#This Row],[session_kdr]]&gt;=1.8,data[[#This Row],[session_hs_pct]]&gt;=70),"Good",AND(data[[#This Row],[session_kdr]]&gt;=1.2,data[[#This Row],[session_hs_pct]]&gt;=50),"Average",TRUE,"Poor")</f>
        <v>Good</v>
      </c>
      <c r="W3">
        <f>IF(data[[#This Row],[session_quality]]="Poor", 1,0)</f>
        <v>0</v>
      </c>
    </row>
    <row r="4" spans="1:23" x14ac:dyDescent="0.25">
      <c r="A4">
        <v>3</v>
      </c>
      <c r="B4" s="1">
        <v>45963.391770833332</v>
      </c>
      <c r="C4" s="1">
        <v>45963.393865740742</v>
      </c>
      <c r="D4">
        <v>2</v>
      </c>
      <c r="E4">
        <v>2</v>
      </c>
      <c r="F4">
        <v>2</v>
      </c>
      <c r="G4">
        <v>3.0166666666666666</v>
      </c>
      <c r="H4">
        <v>0</v>
      </c>
      <c r="I4">
        <f>YEAR(data[[#This Row],[session_start]])</f>
        <v>2025</v>
      </c>
      <c r="J4">
        <f>MONTH(data[[#This Row],[session_start]])</f>
        <v>11</v>
      </c>
      <c r="K4" t="str">
        <f>TEXT(data[[#This Row],[session_start]], "mmmm")</f>
        <v>November</v>
      </c>
      <c r="L4">
        <f>WEEKNUM(data[[#This Row],[session_start]])</f>
        <v>45</v>
      </c>
      <c r="M4">
        <f>WEEKDAY(data[[#This Row],[session_start]],2)</f>
        <v>7</v>
      </c>
      <c r="N4" t="str">
        <f>TEXT(data[[#This Row],[session_start]],"dddd")</f>
        <v>Sunday</v>
      </c>
      <c r="O4">
        <f>IF(data[[#This Row],[day_of_week]]&gt;5,1,0)</f>
        <v>1</v>
      </c>
      <c r="P4">
        <f>HOUR(data[[#This Row],[session_start]])</f>
        <v>9</v>
      </c>
      <c r="Q4" t="str" cm="1">
        <f t="array" ref="Q4">_xlfn.SWITCH(TRUE, AND(data[[#This Row],[hour]]&gt;=6, data[[#This Row],[hour]]&lt;=11), "Morning", AND(data[[#This Row],[hour]]&gt;=12, data[[#This Row],[hour]]&lt;=17), "Afternoon", AND(data[[#This Row],[hour]]&gt;=18, data[[#This Row],[hour]]&lt;=23), "Evening", TRUE, "Night")</f>
        <v>Morning</v>
      </c>
      <c r="R4" t="str" cm="1">
        <f t="array" ref="R4">_xlfn.IFS(data[[#This Row],[session_duration_min]]&lt;=15, "Short", data[[#This Row],[session_duration_min]]&lt;=45, "Medium",  TRUE, "Long")</f>
        <v>Short</v>
      </c>
      <c r="S4">
        <f>IFERROR( ROUND(data[[#This Row],[kills]]/data[[#This Row],[deaths]],2), 0)</f>
        <v>1</v>
      </c>
      <c r="T4">
        <f>IFERROR( ROUND(data[[#This Row],[headshots]]/data[[#This Row],[kills]]*100,2),0)</f>
        <v>100</v>
      </c>
      <c r="U4">
        <f>ROUND(data[[#This Row],[kills]]/data[[#This Row],[session_duration_min]],2)</f>
        <v>0.66</v>
      </c>
      <c r="V4" t="str" cm="1">
        <f t="array" ref="V4">_xlfn.SWITCH(TRUE,AND(data[[#This Row],[session_kdr]]&gt;=1.8,data[[#This Row],[session_hs_pct]]&gt;=70),"Good",AND(data[[#This Row],[session_kdr]]&gt;=1.2,data[[#This Row],[session_hs_pct]]&gt;=50),"Average",TRUE,"Poor")</f>
        <v>Poor</v>
      </c>
      <c r="W4">
        <f>IF(data[[#This Row],[session_quality]]="Poor", 1,0)</f>
        <v>1</v>
      </c>
    </row>
    <row r="5" spans="1:23" x14ac:dyDescent="0.25">
      <c r="A5">
        <v>4</v>
      </c>
      <c r="B5" s="1">
        <v>45966.602280092593</v>
      </c>
      <c r="C5" s="1">
        <v>45966.62835648148</v>
      </c>
      <c r="D5">
        <v>43</v>
      </c>
      <c r="E5">
        <v>53</v>
      </c>
      <c r="F5">
        <v>24</v>
      </c>
      <c r="G5">
        <v>37.049999999999997</v>
      </c>
      <c r="H5">
        <v>0.5</v>
      </c>
      <c r="I5">
        <f>YEAR(data[[#This Row],[session_start]])</f>
        <v>2025</v>
      </c>
      <c r="J5">
        <f>MONTH(data[[#This Row],[session_start]])</f>
        <v>11</v>
      </c>
      <c r="K5" t="str">
        <f>TEXT(data[[#This Row],[session_start]], "mmmm")</f>
        <v>November</v>
      </c>
      <c r="L5">
        <f>WEEKNUM(data[[#This Row],[session_start]])</f>
        <v>45</v>
      </c>
      <c r="M5">
        <f>WEEKDAY(data[[#This Row],[session_start]],2)</f>
        <v>3</v>
      </c>
      <c r="N5" t="str">
        <f>TEXT(data[[#This Row],[session_start]],"dddd")</f>
        <v>Wednesday</v>
      </c>
      <c r="O5">
        <f>IF(data[[#This Row],[day_of_week]]&gt;5,1,0)</f>
        <v>0</v>
      </c>
      <c r="P5">
        <f>HOUR(data[[#This Row],[session_start]])</f>
        <v>14</v>
      </c>
      <c r="Q5" t="str" cm="1">
        <f t="array" ref="Q5">_xlfn.SWITCH(TRUE, AND(data[[#This Row],[hour]]&gt;=6, data[[#This Row],[hour]]&lt;=11), "Morning", AND(data[[#This Row],[hour]]&gt;=12, data[[#This Row],[hour]]&lt;=17), "Afternoon", AND(data[[#This Row],[hour]]&gt;=18, data[[#This Row],[hour]]&lt;=23), "Evening", TRUE, "Night")</f>
        <v>Afternoon</v>
      </c>
      <c r="R5" t="str" cm="1">
        <f t="array" ref="R5">_xlfn.IFS(data[[#This Row],[session_duration_min]]&lt;=15, "Short", data[[#This Row],[session_duration_min]]&lt;=45, "Medium",  TRUE, "Long")</f>
        <v>Medium</v>
      </c>
      <c r="S5">
        <f>IFERROR( ROUND(data[[#This Row],[kills]]/data[[#This Row],[deaths]],2), 0)</f>
        <v>2.21</v>
      </c>
      <c r="T5">
        <f>IFERROR( ROUND(data[[#This Row],[headshots]]/data[[#This Row],[kills]]*100,2),0)</f>
        <v>81.13</v>
      </c>
      <c r="U5">
        <f>ROUND(data[[#This Row],[kills]]/data[[#This Row],[session_duration_min]],2)</f>
        <v>1.43</v>
      </c>
      <c r="V5" t="str" cm="1">
        <f t="array" ref="V5">_xlfn.SWITCH(TRUE,AND(data[[#This Row],[session_kdr]]&gt;=1.8,data[[#This Row],[session_hs_pct]]&gt;=70),"Good",AND(data[[#This Row],[session_kdr]]&gt;=1.2,data[[#This Row],[session_hs_pct]]&gt;=50),"Average",TRUE,"Poor")</f>
        <v>Good</v>
      </c>
      <c r="W5">
        <f>IF(data[[#This Row],[session_quality]]="Poor", 1,0)</f>
        <v>0</v>
      </c>
    </row>
    <row r="6" spans="1:23" x14ac:dyDescent="0.25">
      <c r="A6">
        <v>5</v>
      </c>
      <c r="B6" s="1">
        <v>45966.634166666663</v>
      </c>
      <c r="C6" s="1">
        <v>45966.66070601852</v>
      </c>
      <c r="D6">
        <v>25</v>
      </c>
      <c r="E6">
        <v>34</v>
      </c>
      <c r="F6">
        <v>33</v>
      </c>
      <c r="G6">
        <v>36.133333333333333</v>
      </c>
      <c r="H6">
        <v>2.0833333333333335</v>
      </c>
      <c r="I6">
        <f>YEAR(data[[#This Row],[session_start]])</f>
        <v>2025</v>
      </c>
      <c r="J6">
        <f>MONTH(data[[#This Row],[session_start]])</f>
        <v>11</v>
      </c>
      <c r="K6" t="str">
        <f>TEXT(data[[#This Row],[session_start]], "mmmm")</f>
        <v>November</v>
      </c>
      <c r="L6">
        <f>WEEKNUM(data[[#This Row],[session_start]])</f>
        <v>45</v>
      </c>
      <c r="M6">
        <f>WEEKDAY(data[[#This Row],[session_start]],2)</f>
        <v>3</v>
      </c>
      <c r="N6" t="str">
        <f>TEXT(data[[#This Row],[session_start]],"dddd")</f>
        <v>Wednesday</v>
      </c>
      <c r="O6">
        <f>IF(data[[#This Row],[day_of_week]]&gt;5,1,0)</f>
        <v>0</v>
      </c>
      <c r="P6">
        <f>HOUR(data[[#This Row],[session_start]])</f>
        <v>15</v>
      </c>
      <c r="Q6" t="str" cm="1">
        <f t="array" ref="Q6">_xlfn.SWITCH(TRUE, AND(data[[#This Row],[hour]]&gt;=6, data[[#This Row],[hour]]&lt;=11), "Morning", AND(data[[#This Row],[hour]]&gt;=12, data[[#This Row],[hour]]&lt;=17), "Afternoon", AND(data[[#This Row],[hour]]&gt;=18, data[[#This Row],[hour]]&lt;=23), "Evening", TRUE, "Night")</f>
        <v>Afternoon</v>
      </c>
      <c r="R6" t="str" cm="1">
        <f t="array" ref="R6">_xlfn.IFS(data[[#This Row],[session_duration_min]]&lt;=15, "Short", data[[#This Row],[session_duration_min]]&lt;=45, "Medium",  TRUE, "Long")</f>
        <v>Medium</v>
      </c>
      <c r="S6">
        <f>IFERROR( ROUND(data[[#This Row],[kills]]/data[[#This Row],[deaths]],2), 0)</f>
        <v>1.03</v>
      </c>
      <c r="T6">
        <f>IFERROR( ROUND(data[[#This Row],[headshots]]/data[[#This Row],[kills]]*100,2),0)</f>
        <v>73.53</v>
      </c>
      <c r="U6">
        <f>ROUND(data[[#This Row],[kills]]/data[[#This Row],[session_duration_min]],2)</f>
        <v>0.94</v>
      </c>
      <c r="V6" t="str" cm="1">
        <f t="array" ref="V6">_xlfn.SWITCH(TRUE,AND(data[[#This Row],[session_kdr]]&gt;=1.8,data[[#This Row],[session_hs_pct]]&gt;=70),"Good",AND(data[[#This Row],[session_kdr]]&gt;=1.2,data[[#This Row],[session_hs_pct]]&gt;=50),"Average",TRUE,"Poor")</f>
        <v>Poor</v>
      </c>
      <c r="W6">
        <f>IF(data[[#This Row],[session_quality]]="Poor", 1,0)</f>
        <v>1</v>
      </c>
    </row>
    <row r="7" spans="1:23" x14ac:dyDescent="0.25">
      <c r="A7">
        <v>6</v>
      </c>
      <c r="B7" s="1">
        <v>45966.900034722225</v>
      </c>
      <c r="C7" s="1">
        <v>45966.940555555557</v>
      </c>
      <c r="D7">
        <v>60</v>
      </c>
      <c r="E7">
        <v>80</v>
      </c>
      <c r="F7">
        <v>48</v>
      </c>
      <c r="G7">
        <v>57.766666666666666</v>
      </c>
      <c r="H7">
        <v>0.58333333333333337</v>
      </c>
      <c r="I7">
        <f>YEAR(data[[#This Row],[session_start]])</f>
        <v>2025</v>
      </c>
      <c r="J7">
        <f>MONTH(data[[#This Row],[session_start]])</f>
        <v>11</v>
      </c>
      <c r="K7" t="str">
        <f>TEXT(data[[#This Row],[session_start]], "mmmm")</f>
        <v>November</v>
      </c>
      <c r="L7">
        <f>WEEKNUM(data[[#This Row],[session_start]])</f>
        <v>45</v>
      </c>
      <c r="M7">
        <f>WEEKDAY(data[[#This Row],[session_start]],2)</f>
        <v>3</v>
      </c>
      <c r="N7" t="str">
        <f>TEXT(data[[#This Row],[session_start]],"dddd")</f>
        <v>Wednesday</v>
      </c>
      <c r="O7">
        <f>IF(data[[#This Row],[day_of_week]]&gt;5,1,0)</f>
        <v>0</v>
      </c>
      <c r="P7">
        <f>HOUR(data[[#This Row],[session_start]])</f>
        <v>21</v>
      </c>
      <c r="Q7" t="str" cm="1">
        <f t="array" ref="Q7">_xlfn.SWITCH(TRUE, AND(data[[#This Row],[hour]]&gt;=6, data[[#This Row],[hour]]&lt;=11), "Morning", AND(data[[#This Row],[hour]]&gt;=12, data[[#This Row],[hour]]&lt;=17), "Afternoon", AND(data[[#This Row],[hour]]&gt;=18, data[[#This Row],[hour]]&lt;=23), "Evening", TRUE, "Night")</f>
        <v>Evening</v>
      </c>
      <c r="R7" t="str" cm="1">
        <f t="array" ref="R7">_xlfn.IFS(data[[#This Row],[session_duration_min]]&lt;=15, "Short", data[[#This Row],[session_duration_min]]&lt;=45, "Medium",  TRUE, "Long")</f>
        <v>Long</v>
      </c>
      <c r="S7">
        <f>IFERROR( ROUND(data[[#This Row],[kills]]/data[[#This Row],[deaths]],2), 0)</f>
        <v>1.67</v>
      </c>
      <c r="T7">
        <f>IFERROR( ROUND(data[[#This Row],[headshots]]/data[[#This Row],[kills]]*100,2),0)</f>
        <v>75</v>
      </c>
      <c r="U7">
        <f>ROUND(data[[#This Row],[kills]]/data[[#This Row],[session_duration_min]],2)</f>
        <v>1.38</v>
      </c>
      <c r="V7" t="str" cm="1">
        <f t="array" ref="V7">_xlfn.SWITCH(TRUE,AND(data[[#This Row],[session_kdr]]&gt;=1.8,data[[#This Row],[session_hs_pct]]&gt;=70),"Good",AND(data[[#This Row],[session_kdr]]&gt;=1.2,data[[#This Row],[session_hs_pct]]&gt;=50),"Average",TRUE,"Poor")</f>
        <v>Average</v>
      </c>
      <c r="W7">
        <f>IF(data[[#This Row],[session_quality]]="Poor", 1,0)</f>
        <v>0</v>
      </c>
    </row>
    <row r="8" spans="1:23" x14ac:dyDescent="0.25">
      <c r="A8">
        <v>7</v>
      </c>
      <c r="B8" s="1">
        <v>45981.972129629627</v>
      </c>
      <c r="C8" s="1">
        <v>45981.974664351852</v>
      </c>
      <c r="D8">
        <v>0</v>
      </c>
      <c r="E8">
        <v>0</v>
      </c>
      <c r="F8">
        <v>1</v>
      </c>
      <c r="G8">
        <v>3.65</v>
      </c>
      <c r="H8">
        <v>0</v>
      </c>
      <c r="I8">
        <f>YEAR(data[[#This Row],[session_start]])</f>
        <v>2025</v>
      </c>
      <c r="J8">
        <f>MONTH(data[[#This Row],[session_start]])</f>
        <v>11</v>
      </c>
      <c r="K8" t="str">
        <f>TEXT(data[[#This Row],[session_start]], "mmmm")</f>
        <v>November</v>
      </c>
      <c r="L8">
        <f>WEEKNUM(data[[#This Row],[session_start]])</f>
        <v>47</v>
      </c>
      <c r="M8">
        <f>WEEKDAY(data[[#This Row],[session_start]],2)</f>
        <v>4</v>
      </c>
      <c r="N8" t="str">
        <f>TEXT(data[[#This Row],[session_start]],"dddd")</f>
        <v>Thursday</v>
      </c>
      <c r="O8">
        <f>IF(data[[#This Row],[day_of_week]]&gt;5,1,0)</f>
        <v>0</v>
      </c>
      <c r="P8">
        <f>HOUR(data[[#This Row],[session_start]])</f>
        <v>23</v>
      </c>
      <c r="Q8" t="str" cm="1">
        <f t="array" ref="Q8">_xlfn.SWITCH(TRUE, AND(data[[#This Row],[hour]]&gt;=6, data[[#This Row],[hour]]&lt;=11), "Morning", AND(data[[#This Row],[hour]]&gt;=12, data[[#This Row],[hour]]&lt;=17), "Afternoon", AND(data[[#This Row],[hour]]&gt;=18, data[[#This Row],[hour]]&lt;=23), "Evening", TRUE, "Night")</f>
        <v>Evening</v>
      </c>
      <c r="R8" t="str" cm="1">
        <f t="array" ref="R8">_xlfn.IFS(data[[#This Row],[session_duration_min]]&lt;=15, "Short", data[[#This Row],[session_duration_min]]&lt;=45, "Medium",  TRUE, "Long")</f>
        <v>Short</v>
      </c>
      <c r="S8">
        <f>IFERROR( ROUND(data[[#This Row],[kills]]/data[[#This Row],[deaths]],2), 0)</f>
        <v>0</v>
      </c>
      <c r="T8">
        <f>IFERROR( ROUND(data[[#This Row],[headshots]]/data[[#This Row],[kills]]*100,2),0)</f>
        <v>0</v>
      </c>
      <c r="U8">
        <f>ROUND(data[[#This Row],[kills]]/data[[#This Row],[session_duration_min]],2)</f>
        <v>0</v>
      </c>
      <c r="V8" t="str" cm="1">
        <f t="array" ref="V8">_xlfn.SWITCH(TRUE,AND(data[[#This Row],[session_kdr]]&gt;=1.8,data[[#This Row],[session_hs_pct]]&gt;=70),"Good",AND(data[[#This Row],[session_kdr]]&gt;=1.2,data[[#This Row],[session_hs_pct]]&gt;=50),"Average",TRUE,"Poor")</f>
        <v>Poor</v>
      </c>
      <c r="W8">
        <f>IF(data[[#This Row],[session_quality]]="Poor", 1,0)</f>
        <v>1</v>
      </c>
    </row>
    <row r="9" spans="1:23" x14ac:dyDescent="0.25">
      <c r="A9">
        <v>8</v>
      </c>
      <c r="B9" s="1">
        <v>45981.977569444447</v>
      </c>
      <c r="C9" s="1">
        <v>45981.981030092589</v>
      </c>
      <c r="D9">
        <v>2</v>
      </c>
      <c r="E9">
        <v>2</v>
      </c>
      <c r="F9">
        <v>2</v>
      </c>
      <c r="G9">
        <v>4.9833333333333334</v>
      </c>
      <c r="H9">
        <v>0</v>
      </c>
      <c r="I9">
        <f>YEAR(data[[#This Row],[session_start]])</f>
        <v>2025</v>
      </c>
      <c r="J9">
        <f>MONTH(data[[#This Row],[session_start]])</f>
        <v>11</v>
      </c>
      <c r="K9" t="str">
        <f>TEXT(data[[#This Row],[session_start]], "mmmm")</f>
        <v>November</v>
      </c>
      <c r="L9">
        <f>WEEKNUM(data[[#This Row],[session_start]])</f>
        <v>47</v>
      </c>
      <c r="M9">
        <f>WEEKDAY(data[[#This Row],[session_start]],2)</f>
        <v>4</v>
      </c>
      <c r="N9" t="str">
        <f>TEXT(data[[#This Row],[session_start]],"dddd")</f>
        <v>Thursday</v>
      </c>
      <c r="O9">
        <f>IF(data[[#This Row],[day_of_week]]&gt;5,1,0)</f>
        <v>0</v>
      </c>
      <c r="P9">
        <f>HOUR(data[[#This Row],[session_start]])</f>
        <v>23</v>
      </c>
      <c r="Q9" t="str" cm="1">
        <f t="array" ref="Q9">_xlfn.SWITCH(TRUE, AND(data[[#This Row],[hour]]&gt;=6, data[[#This Row],[hour]]&lt;=11), "Morning", AND(data[[#This Row],[hour]]&gt;=12, data[[#This Row],[hour]]&lt;=17), "Afternoon", AND(data[[#This Row],[hour]]&gt;=18, data[[#This Row],[hour]]&lt;=23), "Evening", TRUE, "Night")</f>
        <v>Evening</v>
      </c>
      <c r="R9" t="str" cm="1">
        <f t="array" ref="R9">_xlfn.IFS(data[[#This Row],[session_duration_min]]&lt;=15, "Short", data[[#This Row],[session_duration_min]]&lt;=45, "Medium",  TRUE, "Long")</f>
        <v>Short</v>
      </c>
      <c r="S9">
        <f>IFERROR( ROUND(data[[#This Row],[kills]]/data[[#This Row],[deaths]],2), 0)</f>
        <v>1</v>
      </c>
      <c r="T9">
        <f>IFERROR( ROUND(data[[#This Row],[headshots]]/data[[#This Row],[kills]]*100,2),0)</f>
        <v>100</v>
      </c>
      <c r="U9">
        <f>ROUND(data[[#This Row],[kills]]/data[[#This Row],[session_duration_min]],2)</f>
        <v>0.4</v>
      </c>
      <c r="V9" t="str" cm="1">
        <f t="array" ref="V9">_xlfn.SWITCH(TRUE,AND(data[[#This Row],[session_kdr]]&gt;=1.8,data[[#This Row],[session_hs_pct]]&gt;=70),"Good",AND(data[[#This Row],[session_kdr]]&gt;=1.2,data[[#This Row],[session_hs_pct]]&gt;=50),"Average",TRUE,"Poor")</f>
        <v>Poor</v>
      </c>
      <c r="W9">
        <f>IF(data[[#This Row],[session_quality]]="Poor", 1,0)</f>
        <v>1</v>
      </c>
    </row>
    <row r="10" spans="1:23" x14ac:dyDescent="0.25">
      <c r="A10">
        <v>9</v>
      </c>
      <c r="B10" s="1">
        <v>45983.956759259258</v>
      </c>
      <c r="C10" s="1">
        <v>45983.990081018521</v>
      </c>
      <c r="D10">
        <v>36</v>
      </c>
      <c r="E10">
        <v>53</v>
      </c>
      <c r="F10">
        <v>43</v>
      </c>
      <c r="G10">
        <v>47.866666666666667</v>
      </c>
      <c r="H10">
        <v>0.11666666666666667</v>
      </c>
      <c r="I10">
        <f>YEAR(data[[#This Row],[session_start]])</f>
        <v>2025</v>
      </c>
      <c r="J10">
        <f>MONTH(data[[#This Row],[session_start]])</f>
        <v>11</v>
      </c>
      <c r="K10" t="str">
        <f>TEXT(data[[#This Row],[session_start]], "mmmm")</f>
        <v>November</v>
      </c>
      <c r="L10">
        <f>WEEKNUM(data[[#This Row],[session_start]])</f>
        <v>47</v>
      </c>
      <c r="M10">
        <f>WEEKDAY(data[[#This Row],[session_start]],2)</f>
        <v>6</v>
      </c>
      <c r="N10" t="str">
        <f>TEXT(data[[#This Row],[session_start]],"dddd")</f>
        <v>Saturday</v>
      </c>
      <c r="O10">
        <f>IF(data[[#This Row],[day_of_week]]&gt;5,1,0)</f>
        <v>1</v>
      </c>
      <c r="P10">
        <f>HOUR(data[[#This Row],[session_start]])</f>
        <v>22</v>
      </c>
      <c r="Q10" t="str" cm="1">
        <f t="array" ref="Q10">_xlfn.SWITCH(TRUE, AND(data[[#This Row],[hour]]&gt;=6, data[[#This Row],[hour]]&lt;=11), "Morning", AND(data[[#This Row],[hour]]&gt;=12, data[[#This Row],[hour]]&lt;=17), "Afternoon", AND(data[[#This Row],[hour]]&gt;=18, data[[#This Row],[hour]]&lt;=23), "Evening", TRUE, "Night")</f>
        <v>Evening</v>
      </c>
      <c r="R10" t="str" cm="1">
        <f t="array" ref="R10">_xlfn.IFS(data[[#This Row],[session_duration_min]]&lt;=15, "Short", data[[#This Row],[session_duration_min]]&lt;=45, "Medium",  TRUE, "Long")</f>
        <v>Long</v>
      </c>
      <c r="S10">
        <f>IFERROR( ROUND(data[[#This Row],[kills]]/data[[#This Row],[deaths]],2), 0)</f>
        <v>1.23</v>
      </c>
      <c r="T10">
        <f>IFERROR( ROUND(data[[#This Row],[headshots]]/data[[#This Row],[kills]]*100,2),0)</f>
        <v>67.92</v>
      </c>
      <c r="U10">
        <f>ROUND(data[[#This Row],[kills]]/data[[#This Row],[session_duration_min]],2)</f>
        <v>1.1100000000000001</v>
      </c>
      <c r="V10" t="str" cm="1">
        <f t="array" ref="V10">_xlfn.SWITCH(TRUE,AND(data[[#This Row],[session_kdr]]&gt;=1.8,data[[#This Row],[session_hs_pct]]&gt;=70),"Good",AND(data[[#This Row],[session_kdr]]&gt;=1.2,data[[#This Row],[session_hs_pct]]&gt;=50),"Average",TRUE,"Poor")</f>
        <v>Average</v>
      </c>
      <c r="W10">
        <f>IF(data[[#This Row],[session_quality]]="Poor", 1,0)</f>
        <v>0</v>
      </c>
    </row>
    <row r="11" spans="1:23" x14ac:dyDescent="0.25">
      <c r="A11">
        <v>10</v>
      </c>
      <c r="B11" s="1">
        <v>45986.928495370368</v>
      </c>
      <c r="C11" s="1">
        <v>45986.930601851855</v>
      </c>
      <c r="D11">
        <v>2</v>
      </c>
      <c r="E11">
        <v>2</v>
      </c>
      <c r="F11">
        <v>0</v>
      </c>
      <c r="G11">
        <v>3.0333333333333332</v>
      </c>
      <c r="H11">
        <v>0</v>
      </c>
      <c r="I11">
        <f>YEAR(data[[#This Row],[session_start]])</f>
        <v>2025</v>
      </c>
      <c r="J11">
        <f>MONTH(data[[#This Row],[session_start]])</f>
        <v>11</v>
      </c>
      <c r="K11" t="str">
        <f>TEXT(data[[#This Row],[session_start]], "mmmm")</f>
        <v>November</v>
      </c>
      <c r="L11">
        <f>WEEKNUM(data[[#This Row],[session_start]])</f>
        <v>48</v>
      </c>
      <c r="M11">
        <f>WEEKDAY(data[[#This Row],[session_start]],2)</f>
        <v>2</v>
      </c>
      <c r="N11" t="str">
        <f>TEXT(data[[#This Row],[session_start]],"dddd")</f>
        <v>Tuesday</v>
      </c>
      <c r="O11">
        <f>IF(data[[#This Row],[day_of_week]]&gt;5,1,0)</f>
        <v>0</v>
      </c>
      <c r="P11">
        <f>HOUR(data[[#This Row],[session_start]])</f>
        <v>22</v>
      </c>
      <c r="Q11" t="str" cm="1">
        <f t="array" ref="Q11">_xlfn.SWITCH(TRUE, AND(data[[#This Row],[hour]]&gt;=6, data[[#This Row],[hour]]&lt;=11), "Morning", AND(data[[#This Row],[hour]]&gt;=12, data[[#This Row],[hour]]&lt;=17), "Afternoon", AND(data[[#This Row],[hour]]&gt;=18, data[[#This Row],[hour]]&lt;=23), "Evening", TRUE, "Night")</f>
        <v>Evening</v>
      </c>
      <c r="R11" t="str" cm="1">
        <f t="array" ref="R11">_xlfn.IFS(data[[#This Row],[session_duration_min]]&lt;=15, "Short", data[[#This Row],[session_duration_min]]&lt;=45, "Medium",  TRUE, "Long")</f>
        <v>Short</v>
      </c>
      <c r="S11">
        <f>IFERROR( ROUND(data[[#This Row],[kills]]/data[[#This Row],[deaths]],2), 0)</f>
        <v>0</v>
      </c>
      <c r="T11">
        <f>IFERROR( ROUND(data[[#This Row],[headshots]]/data[[#This Row],[kills]]*100,2),0)</f>
        <v>100</v>
      </c>
      <c r="U11">
        <f>ROUND(data[[#This Row],[kills]]/data[[#This Row],[session_duration_min]],2)</f>
        <v>0.66</v>
      </c>
      <c r="V11" t="str" cm="1">
        <f t="array" ref="V11">_xlfn.SWITCH(TRUE,AND(data[[#This Row],[session_kdr]]&gt;=1.8,data[[#This Row],[session_hs_pct]]&gt;=70),"Good",AND(data[[#This Row],[session_kdr]]&gt;=1.2,data[[#This Row],[session_hs_pct]]&gt;=50),"Average",TRUE,"Poor")</f>
        <v>Poor</v>
      </c>
      <c r="W11">
        <f>IF(data[[#This Row],[session_quality]]="Poor", 1,0)</f>
        <v>1</v>
      </c>
    </row>
    <row r="12" spans="1:23" x14ac:dyDescent="0.25">
      <c r="A12">
        <v>11</v>
      </c>
      <c r="B12" s="1">
        <v>45987.696469907409</v>
      </c>
      <c r="C12" s="1">
        <v>45987.709247685183</v>
      </c>
      <c r="D12">
        <v>16</v>
      </c>
      <c r="E12">
        <v>22</v>
      </c>
      <c r="F12">
        <v>14</v>
      </c>
      <c r="G12">
        <v>18.399999999999999</v>
      </c>
      <c r="H12">
        <v>0</v>
      </c>
      <c r="I12">
        <f>YEAR(data[[#This Row],[session_start]])</f>
        <v>2025</v>
      </c>
      <c r="J12">
        <f>MONTH(data[[#This Row],[session_start]])</f>
        <v>11</v>
      </c>
      <c r="K12" t="str">
        <f>TEXT(data[[#This Row],[session_start]], "mmmm")</f>
        <v>November</v>
      </c>
      <c r="L12">
        <f>WEEKNUM(data[[#This Row],[session_start]])</f>
        <v>48</v>
      </c>
      <c r="M12">
        <f>WEEKDAY(data[[#This Row],[session_start]],2)</f>
        <v>3</v>
      </c>
      <c r="N12" t="str">
        <f>TEXT(data[[#This Row],[session_start]],"dddd")</f>
        <v>Wednesday</v>
      </c>
      <c r="O12">
        <f>IF(data[[#This Row],[day_of_week]]&gt;5,1,0)</f>
        <v>0</v>
      </c>
      <c r="P12">
        <f>HOUR(data[[#This Row],[session_start]])</f>
        <v>16</v>
      </c>
      <c r="Q12" t="str" cm="1">
        <f t="array" ref="Q12">_xlfn.SWITCH(TRUE, AND(data[[#This Row],[hour]]&gt;=6, data[[#This Row],[hour]]&lt;=11), "Morning", AND(data[[#This Row],[hour]]&gt;=12, data[[#This Row],[hour]]&lt;=17), "Afternoon", AND(data[[#This Row],[hour]]&gt;=18, data[[#This Row],[hour]]&lt;=23), "Evening", TRUE, "Night")</f>
        <v>Afternoon</v>
      </c>
      <c r="R12" t="str" cm="1">
        <f t="array" ref="R12">_xlfn.IFS(data[[#This Row],[session_duration_min]]&lt;=15, "Short", data[[#This Row],[session_duration_min]]&lt;=45, "Medium",  TRUE, "Long")</f>
        <v>Medium</v>
      </c>
      <c r="S12">
        <f>IFERROR( ROUND(data[[#This Row],[kills]]/data[[#This Row],[deaths]],2), 0)</f>
        <v>1.57</v>
      </c>
      <c r="T12">
        <f>IFERROR( ROUND(data[[#This Row],[headshots]]/data[[#This Row],[kills]]*100,2),0)</f>
        <v>72.73</v>
      </c>
      <c r="U12">
        <f>ROUND(data[[#This Row],[kills]]/data[[#This Row],[session_duration_min]],2)</f>
        <v>1.2</v>
      </c>
      <c r="V12" t="str" cm="1">
        <f t="array" ref="V12">_xlfn.SWITCH(TRUE,AND(data[[#This Row],[session_kdr]]&gt;=1.8,data[[#This Row],[session_hs_pct]]&gt;=70),"Good",AND(data[[#This Row],[session_kdr]]&gt;=1.2,data[[#This Row],[session_hs_pct]]&gt;=50),"Average",TRUE,"Poor")</f>
        <v>Average</v>
      </c>
      <c r="W12">
        <f>IF(data[[#This Row],[session_quality]]="Poor", 1,0)</f>
        <v>0</v>
      </c>
    </row>
    <row r="13" spans="1:23" x14ac:dyDescent="0.25">
      <c r="A13">
        <v>12</v>
      </c>
      <c r="B13" s="1">
        <v>45987.877060185187</v>
      </c>
      <c r="C13" s="1">
        <v>45987.919907407406</v>
      </c>
      <c r="D13">
        <v>61</v>
      </c>
      <c r="E13">
        <v>77</v>
      </c>
      <c r="F13">
        <v>61</v>
      </c>
      <c r="G13">
        <v>61.7</v>
      </c>
      <c r="H13">
        <v>0</v>
      </c>
      <c r="I13">
        <f>YEAR(data[[#This Row],[session_start]])</f>
        <v>2025</v>
      </c>
      <c r="J13">
        <f>MONTH(data[[#This Row],[session_start]])</f>
        <v>11</v>
      </c>
      <c r="K13" t="str">
        <f>TEXT(data[[#This Row],[session_start]], "mmmm")</f>
        <v>November</v>
      </c>
      <c r="L13">
        <f>WEEKNUM(data[[#This Row],[session_start]])</f>
        <v>48</v>
      </c>
      <c r="M13">
        <f>WEEKDAY(data[[#This Row],[session_start]],2)</f>
        <v>3</v>
      </c>
      <c r="N13" t="str">
        <f>TEXT(data[[#This Row],[session_start]],"dddd")</f>
        <v>Wednesday</v>
      </c>
      <c r="O13">
        <f>IF(data[[#This Row],[day_of_week]]&gt;5,1,0)</f>
        <v>0</v>
      </c>
      <c r="P13">
        <f>HOUR(data[[#This Row],[session_start]])</f>
        <v>21</v>
      </c>
      <c r="Q13" t="str" cm="1">
        <f t="array" ref="Q13">_xlfn.SWITCH(TRUE, AND(data[[#This Row],[hour]]&gt;=6, data[[#This Row],[hour]]&lt;=11), "Morning", AND(data[[#This Row],[hour]]&gt;=12, data[[#This Row],[hour]]&lt;=17), "Afternoon", AND(data[[#This Row],[hour]]&gt;=18, data[[#This Row],[hour]]&lt;=23), "Evening", TRUE, "Night")</f>
        <v>Evening</v>
      </c>
      <c r="R13" t="str" cm="1">
        <f t="array" ref="R13">_xlfn.IFS(data[[#This Row],[session_duration_min]]&lt;=15, "Short", data[[#This Row],[session_duration_min]]&lt;=45, "Medium",  TRUE, "Long")</f>
        <v>Long</v>
      </c>
      <c r="S13">
        <f>IFERROR( ROUND(data[[#This Row],[kills]]/data[[#This Row],[deaths]],2), 0)</f>
        <v>1.26</v>
      </c>
      <c r="T13">
        <f>IFERROR( ROUND(data[[#This Row],[headshots]]/data[[#This Row],[kills]]*100,2),0)</f>
        <v>79.22</v>
      </c>
      <c r="U13">
        <f>ROUND(data[[#This Row],[kills]]/data[[#This Row],[session_duration_min]],2)</f>
        <v>1.25</v>
      </c>
      <c r="V13" t="str" cm="1">
        <f t="array" ref="V13">_xlfn.SWITCH(TRUE,AND(data[[#This Row],[session_kdr]]&gt;=1.8,data[[#This Row],[session_hs_pct]]&gt;=70),"Good",AND(data[[#This Row],[session_kdr]]&gt;=1.2,data[[#This Row],[session_hs_pct]]&gt;=50),"Average",TRUE,"Poor")</f>
        <v>Average</v>
      </c>
      <c r="W13">
        <f>IF(data[[#This Row],[session_quality]]="Poor", 1,0)</f>
        <v>0</v>
      </c>
    </row>
    <row r="14" spans="1:23" x14ac:dyDescent="0.25">
      <c r="A14">
        <v>13</v>
      </c>
      <c r="B14" s="1">
        <v>45988.050393518519</v>
      </c>
      <c r="C14" s="1">
        <v>45988.054768518516</v>
      </c>
      <c r="D14">
        <v>6</v>
      </c>
      <c r="E14">
        <v>6</v>
      </c>
      <c r="F14">
        <v>6</v>
      </c>
      <c r="G14">
        <v>6.3</v>
      </c>
      <c r="H14">
        <v>0</v>
      </c>
      <c r="I14">
        <f>YEAR(data[[#This Row],[session_start]])</f>
        <v>2025</v>
      </c>
      <c r="J14">
        <f>MONTH(data[[#This Row],[session_start]])</f>
        <v>11</v>
      </c>
      <c r="K14" t="str">
        <f>TEXT(data[[#This Row],[session_start]], "mmmm")</f>
        <v>November</v>
      </c>
      <c r="L14">
        <f>WEEKNUM(data[[#This Row],[session_start]])</f>
        <v>48</v>
      </c>
      <c r="M14">
        <f>WEEKDAY(data[[#This Row],[session_start]],2)</f>
        <v>4</v>
      </c>
      <c r="N14" t="str">
        <f>TEXT(data[[#This Row],[session_start]],"dddd")</f>
        <v>Thursday</v>
      </c>
      <c r="O14">
        <f>IF(data[[#This Row],[day_of_week]]&gt;5,1,0)</f>
        <v>0</v>
      </c>
      <c r="P14">
        <f>HOUR(data[[#This Row],[session_start]])</f>
        <v>1</v>
      </c>
      <c r="Q14" t="str" cm="1">
        <f t="array" ref="Q14">_xlfn.SWITCH(TRUE, AND(data[[#This Row],[hour]]&gt;=6, data[[#This Row],[hour]]&lt;=11), "Morning", AND(data[[#This Row],[hour]]&gt;=12, data[[#This Row],[hour]]&lt;=17), "Afternoon", AND(data[[#This Row],[hour]]&gt;=18, data[[#This Row],[hour]]&lt;=23), "Evening", TRUE, "Night")</f>
        <v>Night</v>
      </c>
      <c r="R14" t="str" cm="1">
        <f t="array" ref="R14">_xlfn.IFS(data[[#This Row],[session_duration_min]]&lt;=15, "Short", data[[#This Row],[session_duration_min]]&lt;=45, "Medium",  TRUE, "Long")</f>
        <v>Short</v>
      </c>
      <c r="S14">
        <f>IFERROR( ROUND(data[[#This Row],[kills]]/data[[#This Row],[deaths]],2), 0)</f>
        <v>1</v>
      </c>
      <c r="T14">
        <f>IFERROR( ROUND(data[[#This Row],[headshots]]/data[[#This Row],[kills]]*100,2),0)</f>
        <v>100</v>
      </c>
      <c r="U14">
        <f>ROUND(data[[#This Row],[kills]]/data[[#This Row],[session_duration_min]],2)</f>
        <v>0.95</v>
      </c>
      <c r="V14" t="str" cm="1">
        <f t="array" ref="V14">_xlfn.SWITCH(TRUE,AND(data[[#This Row],[session_kdr]]&gt;=1.8,data[[#This Row],[session_hs_pct]]&gt;=70),"Good",AND(data[[#This Row],[session_kdr]]&gt;=1.2,data[[#This Row],[session_hs_pct]]&gt;=50),"Average",TRUE,"Poor")</f>
        <v>Poor</v>
      </c>
      <c r="W14">
        <f>IF(data[[#This Row],[session_quality]]="Poor", 1,0)</f>
        <v>1</v>
      </c>
    </row>
    <row r="15" spans="1:23" x14ac:dyDescent="0.25">
      <c r="A15">
        <v>14</v>
      </c>
      <c r="B15" s="1">
        <v>45989.994120370371</v>
      </c>
      <c r="C15" s="1">
        <v>45990.014953703707</v>
      </c>
      <c r="D15">
        <v>32</v>
      </c>
      <c r="E15">
        <v>42</v>
      </c>
      <c r="F15">
        <v>13</v>
      </c>
      <c r="G15">
        <v>29.8</v>
      </c>
      <c r="H15">
        <v>0.2</v>
      </c>
      <c r="I15">
        <f>YEAR(data[[#This Row],[session_start]])</f>
        <v>2025</v>
      </c>
      <c r="J15">
        <f>MONTH(data[[#This Row],[session_start]])</f>
        <v>11</v>
      </c>
      <c r="K15" t="str">
        <f>TEXT(data[[#This Row],[session_start]], "mmmm")</f>
        <v>November</v>
      </c>
      <c r="L15">
        <f>WEEKNUM(data[[#This Row],[session_start]])</f>
        <v>48</v>
      </c>
      <c r="M15">
        <f>WEEKDAY(data[[#This Row],[session_start]],2)</f>
        <v>5</v>
      </c>
      <c r="N15" t="str">
        <f>TEXT(data[[#This Row],[session_start]],"dddd")</f>
        <v>Friday</v>
      </c>
      <c r="O15">
        <f>IF(data[[#This Row],[day_of_week]]&gt;5,1,0)</f>
        <v>0</v>
      </c>
      <c r="P15">
        <f>HOUR(data[[#This Row],[session_start]])</f>
        <v>23</v>
      </c>
      <c r="Q15" t="str" cm="1">
        <f t="array" ref="Q15">_xlfn.SWITCH(TRUE, AND(data[[#This Row],[hour]]&gt;=6, data[[#This Row],[hour]]&lt;=11), "Morning", AND(data[[#This Row],[hour]]&gt;=12, data[[#This Row],[hour]]&lt;=17), "Afternoon", AND(data[[#This Row],[hour]]&gt;=18, data[[#This Row],[hour]]&lt;=23), "Evening", TRUE, "Night")</f>
        <v>Evening</v>
      </c>
      <c r="R15" t="str" cm="1">
        <f t="array" ref="R15">_xlfn.IFS(data[[#This Row],[session_duration_min]]&lt;=15, "Short", data[[#This Row],[session_duration_min]]&lt;=45, "Medium",  TRUE, "Long")</f>
        <v>Medium</v>
      </c>
      <c r="S15">
        <f>IFERROR( ROUND(data[[#This Row],[kills]]/data[[#This Row],[deaths]],2), 0)</f>
        <v>3.23</v>
      </c>
      <c r="T15">
        <f>IFERROR( ROUND(data[[#This Row],[headshots]]/data[[#This Row],[kills]]*100,2),0)</f>
        <v>76.19</v>
      </c>
      <c r="U15">
        <f>ROUND(data[[#This Row],[kills]]/data[[#This Row],[session_duration_min]],2)</f>
        <v>1.41</v>
      </c>
      <c r="V15" t="str" cm="1">
        <f t="array" ref="V15">_xlfn.SWITCH(TRUE,AND(data[[#This Row],[session_kdr]]&gt;=1.8,data[[#This Row],[session_hs_pct]]&gt;=70),"Good",AND(data[[#This Row],[session_kdr]]&gt;=1.2,data[[#This Row],[session_hs_pct]]&gt;=50),"Average",TRUE,"Poor")</f>
        <v>Good</v>
      </c>
      <c r="W15">
        <f>IF(data[[#This Row],[session_quality]]="Poor", 1,0)</f>
        <v>0</v>
      </c>
    </row>
    <row r="16" spans="1:23" x14ac:dyDescent="0.25">
      <c r="A16">
        <v>15</v>
      </c>
      <c r="B16" s="1">
        <v>45990.735671296294</v>
      </c>
      <c r="C16" s="1">
        <v>45990.746655092589</v>
      </c>
      <c r="D16">
        <v>15</v>
      </c>
      <c r="E16">
        <v>16</v>
      </c>
      <c r="F16">
        <v>12</v>
      </c>
      <c r="G16">
        <v>15.666666666666666</v>
      </c>
      <c r="H16">
        <v>0.15</v>
      </c>
      <c r="I16">
        <f>YEAR(data[[#This Row],[session_start]])</f>
        <v>2025</v>
      </c>
      <c r="J16">
        <f>MONTH(data[[#This Row],[session_start]])</f>
        <v>11</v>
      </c>
      <c r="K16" t="str">
        <f>TEXT(data[[#This Row],[session_start]], "mmmm")</f>
        <v>November</v>
      </c>
      <c r="L16">
        <f>WEEKNUM(data[[#This Row],[session_start]])</f>
        <v>48</v>
      </c>
      <c r="M16">
        <f>WEEKDAY(data[[#This Row],[session_start]],2)</f>
        <v>6</v>
      </c>
      <c r="N16" t="str">
        <f>TEXT(data[[#This Row],[session_start]],"dddd")</f>
        <v>Saturday</v>
      </c>
      <c r="O16">
        <f>IF(data[[#This Row],[day_of_week]]&gt;5,1,0)</f>
        <v>1</v>
      </c>
      <c r="P16">
        <f>HOUR(data[[#This Row],[session_start]])</f>
        <v>17</v>
      </c>
      <c r="Q16" t="str" cm="1">
        <f t="array" ref="Q16">_xlfn.SWITCH(TRUE, AND(data[[#This Row],[hour]]&gt;=6, data[[#This Row],[hour]]&lt;=11), "Morning", AND(data[[#This Row],[hour]]&gt;=12, data[[#This Row],[hour]]&lt;=17), "Afternoon", AND(data[[#This Row],[hour]]&gt;=18, data[[#This Row],[hour]]&lt;=23), "Evening", TRUE, "Night")</f>
        <v>Afternoon</v>
      </c>
      <c r="R16" t="str" cm="1">
        <f t="array" ref="R16">_xlfn.IFS(data[[#This Row],[session_duration_min]]&lt;=15, "Short", data[[#This Row],[session_duration_min]]&lt;=45, "Medium",  TRUE, "Long")</f>
        <v>Medium</v>
      </c>
      <c r="S16">
        <f>IFERROR( ROUND(data[[#This Row],[kills]]/data[[#This Row],[deaths]],2), 0)</f>
        <v>1.33</v>
      </c>
      <c r="T16">
        <f>IFERROR( ROUND(data[[#This Row],[headshots]]/data[[#This Row],[kills]]*100,2),0)</f>
        <v>93.75</v>
      </c>
      <c r="U16">
        <f>ROUND(data[[#This Row],[kills]]/data[[#This Row],[session_duration_min]],2)</f>
        <v>1.02</v>
      </c>
      <c r="V16" t="str" cm="1">
        <f t="array" ref="V16">_xlfn.SWITCH(TRUE,AND(data[[#This Row],[session_kdr]]&gt;=1.8,data[[#This Row],[session_hs_pct]]&gt;=70),"Good",AND(data[[#This Row],[session_kdr]]&gt;=1.2,data[[#This Row],[session_hs_pct]]&gt;=50),"Average",TRUE,"Poor")</f>
        <v>Average</v>
      </c>
      <c r="W16">
        <f>IF(data[[#This Row],[session_quality]]="Poor", 1,0)</f>
        <v>0</v>
      </c>
    </row>
    <row r="17" spans="1:23" x14ac:dyDescent="0.25">
      <c r="A17">
        <v>16</v>
      </c>
      <c r="B17" s="1">
        <v>45990.8203587963</v>
      </c>
      <c r="C17" s="1">
        <v>45990.841446759259</v>
      </c>
      <c r="D17">
        <v>24</v>
      </c>
      <c r="E17">
        <v>31</v>
      </c>
      <c r="F17">
        <v>17</v>
      </c>
      <c r="G17">
        <v>27.216666666666665</v>
      </c>
      <c r="H17">
        <v>3.15</v>
      </c>
      <c r="I17">
        <f>YEAR(data[[#This Row],[session_start]])</f>
        <v>2025</v>
      </c>
      <c r="J17">
        <f>MONTH(data[[#This Row],[session_start]])</f>
        <v>11</v>
      </c>
      <c r="K17" t="str">
        <f>TEXT(data[[#This Row],[session_start]], "mmmm")</f>
        <v>November</v>
      </c>
      <c r="L17">
        <f>WEEKNUM(data[[#This Row],[session_start]])</f>
        <v>48</v>
      </c>
      <c r="M17">
        <f>WEEKDAY(data[[#This Row],[session_start]],2)</f>
        <v>6</v>
      </c>
      <c r="N17" t="str">
        <f>TEXT(data[[#This Row],[session_start]],"dddd")</f>
        <v>Saturday</v>
      </c>
      <c r="O17">
        <f>IF(data[[#This Row],[day_of_week]]&gt;5,1,0)</f>
        <v>1</v>
      </c>
      <c r="P17">
        <f>HOUR(data[[#This Row],[session_start]])</f>
        <v>19</v>
      </c>
      <c r="Q17" t="str" cm="1">
        <f t="array" ref="Q17">_xlfn.SWITCH(TRUE, AND(data[[#This Row],[hour]]&gt;=6, data[[#This Row],[hour]]&lt;=11), "Morning", AND(data[[#This Row],[hour]]&gt;=12, data[[#This Row],[hour]]&lt;=17), "Afternoon", AND(data[[#This Row],[hour]]&gt;=18, data[[#This Row],[hour]]&lt;=23), "Evening", TRUE, "Night")</f>
        <v>Evening</v>
      </c>
      <c r="R17" t="str" cm="1">
        <f t="array" ref="R17">_xlfn.IFS(data[[#This Row],[session_duration_min]]&lt;=15, "Short", data[[#This Row],[session_duration_min]]&lt;=45, "Medium",  TRUE, "Long")</f>
        <v>Medium</v>
      </c>
      <c r="S17">
        <f>IFERROR( ROUND(data[[#This Row],[kills]]/data[[#This Row],[deaths]],2), 0)</f>
        <v>1.82</v>
      </c>
      <c r="T17">
        <f>IFERROR( ROUND(data[[#This Row],[headshots]]/data[[#This Row],[kills]]*100,2),0)</f>
        <v>77.42</v>
      </c>
      <c r="U17">
        <f>ROUND(data[[#This Row],[kills]]/data[[#This Row],[session_duration_min]],2)</f>
        <v>1.1399999999999999</v>
      </c>
      <c r="V17" t="str" cm="1">
        <f t="array" ref="V17">_xlfn.SWITCH(TRUE,AND(data[[#This Row],[session_kdr]]&gt;=1.8,data[[#This Row],[session_hs_pct]]&gt;=70),"Good",AND(data[[#This Row],[session_kdr]]&gt;=1.2,data[[#This Row],[session_hs_pct]]&gt;=50),"Average",TRUE,"Poor")</f>
        <v>Good</v>
      </c>
      <c r="W17">
        <f>IF(data[[#This Row],[session_quality]]="Poor", 1,0)</f>
        <v>0</v>
      </c>
    </row>
    <row r="18" spans="1:23" x14ac:dyDescent="0.25">
      <c r="A18">
        <v>17</v>
      </c>
      <c r="B18" s="1">
        <v>45990.844247685185</v>
      </c>
      <c r="C18" s="1">
        <v>45990.849918981483</v>
      </c>
      <c r="D18">
        <v>6</v>
      </c>
      <c r="E18">
        <v>8</v>
      </c>
      <c r="F18">
        <v>5</v>
      </c>
      <c r="G18">
        <v>7.95</v>
      </c>
      <c r="H18">
        <v>0.21666666666666667</v>
      </c>
      <c r="I18">
        <f>YEAR(data[[#This Row],[session_start]])</f>
        <v>2025</v>
      </c>
      <c r="J18">
        <f>MONTH(data[[#This Row],[session_start]])</f>
        <v>11</v>
      </c>
      <c r="K18" t="str">
        <f>TEXT(data[[#This Row],[session_start]], "mmmm")</f>
        <v>November</v>
      </c>
      <c r="L18">
        <f>WEEKNUM(data[[#This Row],[session_start]])</f>
        <v>48</v>
      </c>
      <c r="M18">
        <f>WEEKDAY(data[[#This Row],[session_start]],2)</f>
        <v>6</v>
      </c>
      <c r="N18" t="str">
        <f>TEXT(data[[#This Row],[session_start]],"dddd")</f>
        <v>Saturday</v>
      </c>
      <c r="O18">
        <f>IF(data[[#This Row],[day_of_week]]&gt;5,1,0)</f>
        <v>1</v>
      </c>
      <c r="P18">
        <f>HOUR(data[[#This Row],[session_start]])</f>
        <v>20</v>
      </c>
      <c r="Q18" t="str" cm="1">
        <f t="array" ref="Q18">_xlfn.SWITCH(TRUE, AND(data[[#This Row],[hour]]&gt;=6, data[[#This Row],[hour]]&lt;=11), "Morning", AND(data[[#This Row],[hour]]&gt;=12, data[[#This Row],[hour]]&lt;=17), "Afternoon", AND(data[[#This Row],[hour]]&gt;=18, data[[#This Row],[hour]]&lt;=23), "Evening", TRUE, "Night")</f>
        <v>Evening</v>
      </c>
      <c r="R18" t="str" cm="1">
        <f t="array" ref="R18">_xlfn.IFS(data[[#This Row],[session_duration_min]]&lt;=15, "Short", data[[#This Row],[session_duration_min]]&lt;=45, "Medium",  TRUE, "Long")</f>
        <v>Short</v>
      </c>
      <c r="S18">
        <f>IFERROR( ROUND(data[[#This Row],[kills]]/data[[#This Row],[deaths]],2), 0)</f>
        <v>1.6</v>
      </c>
      <c r="T18">
        <f>IFERROR( ROUND(data[[#This Row],[headshots]]/data[[#This Row],[kills]]*100,2),0)</f>
        <v>75</v>
      </c>
      <c r="U18">
        <f>ROUND(data[[#This Row],[kills]]/data[[#This Row],[session_duration_min]],2)</f>
        <v>1.01</v>
      </c>
      <c r="V18" t="str" cm="1">
        <f t="array" ref="V18">_xlfn.SWITCH(TRUE,AND(data[[#This Row],[session_kdr]]&gt;=1.8,data[[#This Row],[session_hs_pct]]&gt;=70),"Good",AND(data[[#This Row],[session_kdr]]&gt;=1.2,data[[#This Row],[session_hs_pct]]&gt;=50),"Average",TRUE,"Poor")</f>
        <v>Average</v>
      </c>
      <c r="W18">
        <f>IF(data[[#This Row],[session_quality]]="Poor", 1,0)</f>
        <v>0</v>
      </c>
    </row>
    <row r="19" spans="1:23" x14ac:dyDescent="0.25">
      <c r="A19">
        <v>18</v>
      </c>
      <c r="B19" s="1">
        <v>45991.749525462961</v>
      </c>
      <c r="C19" s="1">
        <v>45991.770462962966</v>
      </c>
      <c r="D19">
        <v>38</v>
      </c>
      <c r="E19">
        <v>46</v>
      </c>
      <c r="F19">
        <v>20</v>
      </c>
      <c r="G19">
        <v>30.15</v>
      </c>
      <c r="H19">
        <v>0</v>
      </c>
      <c r="I19">
        <f>YEAR(data[[#This Row],[session_start]])</f>
        <v>2025</v>
      </c>
      <c r="J19">
        <f>MONTH(data[[#This Row],[session_start]])</f>
        <v>11</v>
      </c>
      <c r="K19" t="str">
        <f>TEXT(data[[#This Row],[session_start]], "mmmm")</f>
        <v>November</v>
      </c>
      <c r="L19">
        <f>WEEKNUM(data[[#This Row],[session_start]])</f>
        <v>49</v>
      </c>
      <c r="M19">
        <f>WEEKDAY(data[[#This Row],[session_start]],2)</f>
        <v>7</v>
      </c>
      <c r="N19" t="str">
        <f>TEXT(data[[#This Row],[session_start]],"dddd")</f>
        <v>Sunday</v>
      </c>
      <c r="O19">
        <f>IF(data[[#This Row],[day_of_week]]&gt;5,1,0)</f>
        <v>1</v>
      </c>
      <c r="P19">
        <f>HOUR(data[[#This Row],[session_start]])</f>
        <v>17</v>
      </c>
      <c r="Q19" t="str" cm="1">
        <f t="array" ref="Q19">_xlfn.SWITCH(TRUE, AND(data[[#This Row],[hour]]&gt;=6, data[[#This Row],[hour]]&lt;=11), "Morning", AND(data[[#This Row],[hour]]&gt;=12, data[[#This Row],[hour]]&lt;=17), "Afternoon", AND(data[[#This Row],[hour]]&gt;=18, data[[#This Row],[hour]]&lt;=23), "Evening", TRUE, "Night")</f>
        <v>Afternoon</v>
      </c>
      <c r="R19" t="str" cm="1">
        <f t="array" ref="R19">_xlfn.IFS(data[[#This Row],[session_duration_min]]&lt;=15, "Short", data[[#This Row],[session_duration_min]]&lt;=45, "Medium",  TRUE, "Long")</f>
        <v>Medium</v>
      </c>
      <c r="S19">
        <f>IFERROR( ROUND(data[[#This Row],[kills]]/data[[#This Row],[deaths]],2), 0)</f>
        <v>2.2999999999999998</v>
      </c>
      <c r="T19">
        <f>IFERROR( ROUND(data[[#This Row],[headshots]]/data[[#This Row],[kills]]*100,2),0)</f>
        <v>82.61</v>
      </c>
      <c r="U19">
        <f>ROUND(data[[#This Row],[kills]]/data[[#This Row],[session_duration_min]],2)</f>
        <v>1.53</v>
      </c>
      <c r="V19" t="str" cm="1">
        <f t="array" ref="V19">_xlfn.SWITCH(TRUE,AND(data[[#This Row],[session_kdr]]&gt;=1.8,data[[#This Row],[session_hs_pct]]&gt;=70),"Good",AND(data[[#This Row],[session_kdr]]&gt;=1.2,data[[#This Row],[session_hs_pct]]&gt;=50),"Average",TRUE,"Poor")</f>
        <v>Good</v>
      </c>
      <c r="W19">
        <f>IF(data[[#This Row],[session_quality]]="Poor", 1,0)</f>
        <v>0</v>
      </c>
    </row>
    <row r="20" spans="1:23" x14ac:dyDescent="0.25">
      <c r="A20">
        <v>19</v>
      </c>
      <c r="B20" s="1">
        <v>45991.982048611113</v>
      </c>
      <c r="C20" s="1">
        <v>45991.988379629627</v>
      </c>
      <c r="D20">
        <v>10</v>
      </c>
      <c r="E20">
        <v>13</v>
      </c>
      <c r="F20">
        <v>4</v>
      </c>
      <c r="G20">
        <v>8.9</v>
      </c>
      <c r="H20">
        <v>0.21666666666666667</v>
      </c>
      <c r="I20">
        <f>YEAR(data[[#This Row],[session_start]])</f>
        <v>2025</v>
      </c>
      <c r="J20">
        <f>MONTH(data[[#This Row],[session_start]])</f>
        <v>11</v>
      </c>
      <c r="K20" t="str">
        <f>TEXT(data[[#This Row],[session_start]], "mmmm")</f>
        <v>November</v>
      </c>
      <c r="L20">
        <f>WEEKNUM(data[[#This Row],[session_start]])</f>
        <v>49</v>
      </c>
      <c r="M20">
        <f>WEEKDAY(data[[#This Row],[session_start]],2)</f>
        <v>7</v>
      </c>
      <c r="N20" t="str">
        <f>TEXT(data[[#This Row],[session_start]],"dddd")</f>
        <v>Sunday</v>
      </c>
      <c r="O20">
        <f>IF(data[[#This Row],[day_of_week]]&gt;5,1,0)</f>
        <v>1</v>
      </c>
      <c r="P20">
        <f>HOUR(data[[#This Row],[session_start]])</f>
        <v>23</v>
      </c>
      <c r="Q20" t="str" cm="1">
        <f t="array" ref="Q20">_xlfn.SWITCH(TRUE, AND(data[[#This Row],[hour]]&gt;=6, data[[#This Row],[hour]]&lt;=11), "Morning", AND(data[[#This Row],[hour]]&gt;=12, data[[#This Row],[hour]]&lt;=17), "Afternoon", AND(data[[#This Row],[hour]]&gt;=18, data[[#This Row],[hour]]&lt;=23), "Evening", TRUE, "Night")</f>
        <v>Evening</v>
      </c>
      <c r="R20" t="str" cm="1">
        <f t="array" ref="R20">_xlfn.IFS(data[[#This Row],[session_duration_min]]&lt;=15, "Short", data[[#This Row],[session_duration_min]]&lt;=45, "Medium",  TRUE, "Long")</f>
        <v>Short</v>
      </c>
      <c r="S20">
        <f>IFERROR( ROUND(data[[#This Row],[kills]]/data[[#This Row],[deaths]],2), 0)</f>
        <v>3.25</v>
      </c>
      <c r="T20">
        <f>IFERROR( ROUND(data[[#This Row],[headshots]]/data[[#This Row],[kills]]*100,2),0)</f>
        <v>76.92</v>
      </c>
      <c r="U20">
        <f>ROUND(data[[#This Row],[kills]]/data[[#This Row],[session_duration_min]],2)</f>
        <v>1.46</v>
      </c>
      <c r="V20" t="str" cm="1">
        <f t="array" ref="V20">_xlfn.SWITCH(TRUE,AND(data[[#This Row],[session_kdr]]&gt;=1.8,data[[#This Row],[session_hs_pct]]&gt;=70),"Good",AND(data[[#This Row],[session_kdr]]&gt;=1.2,data[[#This Row],[session_hs_pct]]&gt;=50),"Average",TRUE,"Poor")</f>
        <v>Good</v>
      </c>
      <c r="W20">
        <f>IF(data[[#This Row],[session_quality]]="Poor", 1,0)</f>
        <v>0</v>
      </c>
    </row>
    <row r="21" spans="1:23" x14ac:dyDescent="0.25">
      <c r="A21">
        <v>20</v>
      </c>
      <c r="B21" s="1">
        <v>45991.994710648149</v>
      </c>
      <c r="C21" s="1">
        <v>45992.030115740738</v>
      </c>
      <c r="D21">
        <v>50</v>
      </c>
      <c r="E21">
        <v>70</v>
      </c>
      <c r="F21">
        <v>31</v>
      </c>
      <c r="G21">
        <v>50.833333333333329</v>
      </c>
      <c r="H21">
        <v>0.15</v>
      </c>
      <c r="I21">
        <f>YEAR(data[[#This Row],[session_start]])</f>
        <v>2025</v>
      </c>
      <c r="J21">
        <f>MONTH(data[[#This Row],[session_start]])</f>
        <v>11</v>
      </c>
      <c r="K21" t="str">
        <f>TEXT(data[[#This Row],[session_start]], "mmmm")</f>
        <v>November</v>
      </c>
      <c r="L21">
        <f>WEEKNUM(data[[#This Row],[session_start]])</f>
        <v>49</v>
      </c>
      <c r="M21">
        <f>WEEKDAY(data[[#This Row],[session_start]],2)</f>
        <v>7</v>
      </c>
      <c r="N21" t="str">
        <f>TEXT(data[[#This Row],[session_start]],"dddd")</f>
        <v>Sunday</v>
      </c>
      <c r="O21">
        <f>IF(data[[#This Row],[day_of_week]]&gt;5,1,0)</f>
        <v>1</v>
      </c>
      <c r="P21">
        <f>HOUR(data[[#This Row],[session_start]])</f>
        <v>23</v>
      </c>
      <c r="Q21" t="str" cm="1">
        <f t="array" ref="Q21">_xlfn.SWITCH(TRUE, AND(data[[#This Row],[hour]]&gt;=6, data[[#This Row],[hour]]&lt;=11), "Morning", AND(data[[#This Row],[hour]]&gt;=12, data[[#This Row],[hour]]&lt;=17), "Afternoon", AND(data[[#This Row],[hour]]&gt;=18, data[[#This Row],[hour]]&lt;=23), "Evening", TRUE, "Night")</f>
        <v>Evening</v>
      </c>
      <c r="R21" t="str" cm="1">
        <f t="array" ref="R21">_xlfn.IFS(data[[#This Row],[session_duration_min]]&lt;=15, "Short", data[[#This Row],[session_duration_min]]&lt;=45, "Medium",  TRUE, "Long")</f>
        <v>Long</v>
      </c>
      <c r="S21">
        <f>IFERROR( ROUND(data[[#This Row],[kills]]/data[[#This Row],[deaths]],2), 0)</f>
        <v>2.2599999999999998</v>
      </c>
      <c r="T21">
        <f>IFERROR( ROUND(data[[#This Row],[headshots]]/data[[#This Row],[kills]]*100,2),0)</f>
        <v>71.430000000000007</v>
      </c>
      <c r="U21">
        <f>ROUND(data[[#This Row],[kills]]/data[[#This Row],[session_duration_min]],2)</f>
        <v>1.38</v>
      </c>
      <c r="V21" t="str" cm="1">
        <f t="array" ref="V21">_xlfn.SWITCH(TRUE,AND(data[[#This Row],[session_kdr]]&gt;=1.8,data[[#This Row],[session_hs_pct]]&gt;=70),"Good",AND(data[[#This Row],[session_kdr]]&gt;=1.2,data[[#This Row],[session_hs_pct]]&gt;=50),"Average",TRUE,"Poor")</f>
        <v>Good</v>
      </c>
      <c r="W21">
        <f>IF(data[[#This Row],[session_quality]]="Poor", 1,0)</f>
        <v>0</v>
      </c>
    </row>
    <row r="22" spans="1:23" x14ac:dyDescent="0.25">
      <c r="A22">
        <v>21</v>
      </c>
      <c r="B22" s="1">
        <v>45992.76840277778</v>
      </c>
      <c r="C22" s="1">
        <v>45992.817962962959</v>
      </c>
      <c r="D22">
        <v>64</v>
      </c>
      <c r="E22">
        <v>75</v>
      </c>
      <c r="F22">
        <v>60</v>
      </c>
      <c r="G22">
        <v>67.016666666666666</v>
      </c>
      <c r="H22">
        <v>4.3499999999999996</v>
      </c>
      <c r="I22">
        <f>YEAR(data[[#This Row],[session_start]])</f>
        <v>2025</v>
      </c>
      <c r="J22">
        <f>MONTH(data[[#This Row],[session_start]])</f>
        <v>12</v>
      </c>
      <c r="K22" t="str">
        <f>TEXT(data[[#This Row],[session_start]], "mmmm")</f>
        <v>December</v>
      </c>
      <c r="L22">
        <f>WEEKNUM(data[[#This Row],[session_start]])</f>
        <v>49</v>
      </c>
      <c r="M22">
        <f>WEEKDAY(data[[#This Row],[session_start]],2)</f>
        <v>1</v>
      </c>
      <c r="N22" t="str">
        <f>TEXT(data[[#This Row],[session_start]],"dddd")</f>
        <v>Monday</v>
      </c>
      <c r="O22">
        <f>IF(data[[#This Row],[day_of_week]]&gt;5,1,0)</f>
        <v>0</v>
      </c>
      <c r="P22">
        <f>HOUR(data[[#This Row],[session_start]])</f>
        <v>18</v>
      </c>
      <c r="Q22" t="str" cm="1">
        <f t="array" ref="Q22">_xlfn.SWITCH(TRUE, AND(data[[#This Row],[hour]]&gt;=6, data[[#This Row],[hour]]&lt;=11), "Morning", AND(data[[#This Row],[hour]]&gt;=12, data[[#This Row],[hour]]&lt;=17), "Afternoon", AND(data[[#This Row],[hour]]&gt;=18, data[[#This Row],[hour]]&lt;=23), "Evening", TRUE, "Night")</f>
        <v>Evening</v>
      </c>
      <c r="R22" t="str" cm="1">
        <f t="array" ref="R22">_xlfn.IFS(data[[#This Row],[session_duration_min]]&lt;=15, "Short", data[[#This Row],[session_duration_min]]&lt;=45, "Medium",  TRUE, "Long")</f>
        <v>Long</v>
      </c>
      <c r="S22">
        <f>IFERROR( ROUND(data[[#This Row],[kills]]/data[[#This Row],[deaths]],2), 0)</f>
        <v>1.25</v>
      </c>
      <c r="T22">
        <f>IFERROR( ROUND(data[[#This Row],[headshots]]/data[[#This Row],[kills]]*100,2),0)</f>
        <v>85.33</v>
      </c>
      <c r="U22">
        <f>ROUND(data[[#This Row],[kills]]/data[[#This Row],[session_duration_min]],2)</f>
        <v>1.1200000000000001</v>
      </c>
      <c r="V22" t="str" cm="1">
        <f t="array" ref="V22">_xlfn.SWITCH(TRUE,AND(data[[#This Row],[session_kdr]]&gt;=1.8,data[[#This Row],[session_hs_pct]]&gt;=70),"Good",AND(data[[#This Row],[session_kdr]]&gt;=1.2,data[[#This Row],[session_hs_pct]]&gt;=50),"Average",TRUE,"Poor")</f>
        <v>Average</v>
      </c>
      <c r="W22">
        <f>IF(data[[#This Row],[session_quality]]="Poor", 1,0)</f>
        <v>0</v>
      </c>
    </row>
    <row r="23" spans="1:23" x14ac:dyDescent="0.25">
      <c r="A23">
        <v>22</v>
      </c>
      <c r="B23" s="1">
        <v>45993.771817129629</v>
      </c>
      <c r="C23" s="1">
        <v>45993.794224537036</v>
      </c>
      <c r="D23">
        <v>28</v>
      </c>
      <c r="E23">
        <v>35</v>
      </c>
      <c r="F23">
        <v>21</v>
      </c>
      <c r="G23">
        <v>31.383333333333336</v>
      </c>
      <c r="H23">
        <v>0.8833333333333333</v>
      </c>
      <c r="I23">
        <f>YEAR(data[[#This Row],[session_start]])</f>
        <v>2025</v>
      </c>
      <c r="J23">
        <f>MONTH(data[[#This Row],[session_start]])</f>
        <v>12</v>
      </c>
      <c r="K23" t="str">
        <f>TEXT(data[[#This Row],[session_start]], "mmmm")</f>
        <v>December</v>
      </c>
      <c r="L23">
        <f>WEEKNUM(data[[#This Row],[session_start]])</f>
        <v>49</v>
      </c>
      <c r="M23">
        <f>WEEKDAY(data[[#This Row],[session_start]],2)</f>
        <v>2</v>
      </c>
      <c r="N23" t="str">
        <f>TEXT(data[[#This Row],[session_start]],"dddd")</f>
        <v>Tuesday</v>
      </c>
      <c r="O23">
        <f>IF(data[[#This Row],[day_of_week]]&gt;5,1,0)</f>
        <v>0</v>
      </c>
      <c r="P23">
        <f>HOUR(data[[#This Row],[session_start]])</f>
        <v>18</v>
      </c>
      <c r="Q23" t="str" cm="1">
        <f t="array" ref="Q23">_xlfn.SWITCH(TRUE, AND(data[[#This Row],[hour]]&gt;=6, data[[#This Row],[hour]]&lt;=11), "Morning", AND(data[[#This Row],[hour]]&gt;=12, data[[#This Row],[hour]]&lt;=17), "Afternoon", AND(data[[#This Row],[hour]]&gt;=18, data[[#This Row],[hour]]&lt;=23), "Evening", TRUE, "Night")</f>
        <v>Evening</v>
      </c>
      <c r="R23" t="str" cm="1">
        <f t="array" ref="R23">_xlfn.IFS(data[[#This Row],[session_duration_min]]&lt;=15, "Short", data[[#This Row],[session_duration_min]]&lt;=45, "Medium",  TRUE, "Long")</f>
        <v>Medium</v>
      </c>
      <c r="S23">
        <f>IFERROR( ROUND(data[[#This Row],[kills]]/data[[#This Row],[deaths]],2), 0)</f>
        <v>1.67</v>
      </c>
      <c r="T23">
        <f>IFERROR( ROUND(data[[#This Row],[headshots]]/data[[#This Row],[kills]]*100,2),0)</f>
        <v>80</v>
      </c>
      <c r="U23">
        <f>ROUND(data[[#This Row],[kills]]/data[[#This Row],[session_duration_min]],2)</f>
        <v>1.1200000000000001</v>
      </c>
      <c r="V23" t="str" cm="1">
        <f t="array" ref="V23">_xlfn.SWITCH(TRUE,AND(data[[#This Row],[session_kdr]]&gt;=1.8,data[[#This Row],[session_hs_pct]]&gt;=70),"Good",AND(data[[#This Row],[session_kdr]]&gt;=1.2,data[[#This Row],[session_hs_pct]]&gt;=50),"Average",TRUE,"Poor")</f>
        <v>Average</v>
      </c>
      <c r="W23">
        <f>IF(data[[#This Row],[session_quality]]="Poor", 1,0)</f>
        <v>0</v>
      </c>
    </row>
    <row r="24" spans="1:23" x14ac:dyDescent="0.25">
      <c r="A24">
        <v>23</v>
      </c>
      <c r="B24" s="1">
        <v>45995.899351851855</v>
      </c>
      <c r="C24" s="1">
        <v>45995.906099537038</v>
      </c>
      <c r="D24">
        <v>15</v>
      </c>
      <c r="E24">
        <v>18</v>
      </c>
      <c r="F24">
        <v>3</v>
      </c>
      <c r="G24">
        <v>9.5166666666666675</v>
      </c>
      <c r="H24">
        <v>0.2</v>
      </c>
      <c r="I24">
        <f>YEAR(data[[#This Row],[session_start]])</f>
        <v>2025</v>
      </c>
      <c r="J24">
        <f>MONTH(data[[#This Row],[session_start]])</f>
        <v>12</v>
      </c>
      <c r="K24" t="str">
        <f>TEXT(data[[#This Row],[session_start]], "mmmm")</f>
        <v>December</v>
      </c>
      <c r="L24">
        <f>WEEKNUM(data[[#This Row],[session_start]])</f>
        <v>49</v>
      </c>
      <c r="M24">
        <f>WEEKDAY(data[[#This Row],[session_start]],2)</f>
        <v>4</v>
      </c>
      <c r="N24" t="str">
        <f>TEXT(data[[#This Row],[session_start]],"dddd")</f>
        <v>Thursday</v>
      </c>
      <c r="O24">
        <f>IF(data[[#This Row],[day_of_week]]&gt;5,1,0)</f>
        <v>0</v>
      </c>
      <c r="P24">
        <f>HOUR(data[[#This Row],[session_start]])</f>
        <v>21</v>
      </c>
      <c r="Q24" t="str" cm="1">
        <f t="array" ref="Q24">_xlfn.SWITCH(TRUE, AND(data[[#This Row],[hour]]&gt;=6, data[[#This Row],[hour]]&lt;=11), "Morning", AND(data[[#This Row],[hour]]&gt;=12, data[[#This Row],[hour]]&lt;=17), "Afternoon", AND(data[[#This Row],[hour]]&gt;=18, data[[#This Row],[hour]]&lt;=23), "Evening", TRUE, "Night")</f>
        <v>Evening</v>
      </c>
      <c r="R24" t="str" cm="1">
        <f t="array" ref="R24">_xlfn.IFS(data[[#This Row],[session_duration_min]]&lt;=15, "Short", data[[#This Row],[session_duration_min]]&lt;=45, "Medium",  TRUE, "Long")</f>
        <v>Short</v>
      </c>
      <c r="S24">
        <f>IFERROR( ROUND(data[[#This Row],[kills]]/data[[#This Row],[deaths]],2), 0)</f>
        <v>6</v>
      </c>
      <c r="T24">
        <f>IFERROR( ROUND(data[[#This Row],[headshots]]/data[[#This Row],[kills]]*100,2),0)</f>
        <v>83.33</v>
      </c>
      <c r="U24">
        <f>ROUND(data[[#This Row],[kills]]/data[[#This Row],[session_duration_min]],2)</f>
        <v>1.89</v>
      </c>
      <c r="V24" t="str" cm="1">
        <f t="array" ref="V24">_xlfn.SWITCH(TRUE,AND(data[[#This Row],[session_kdr]]&gt;=1.8,data[[#This Row],[session_hs_pct]]&gt;=70),"Good",AND(data[[#This Row],[session_kdr]]&gt;=1.2,data[[#This Row],[session_hs_pct]]&gt;=50),"Average",TRUE,"Poor")</f>
        <v>Good</v>
      </c>
      <c r="W24">
        <f>IF(data[[#This Row],[session_quality]]="Poor", 1,0)</f>
        <v>0</v>
      </c>
    </row>
    <row r="25" spans="1:23" x14ac:dyDescent="0.25">
      <c r="A25">
        <v>24</v>
      </c>
      <c r="B25" s="1">
        <v>45996.739861111113</v>
      </c>
      <c r="C25" s="1">
        <v>45996.749780092592</v>
      </c>
      <c r="D25">
        <v>16</v>
      </c>
      <c r="E25">
        <v>18</v>
      </c>
      <c r="F25">
        <v>9</v>
      </c>
      <c r="G25">
        <v>14.283333333333333</v>
      </c>
      <c r="H25">
        <v>0</v>
      </c>
      <c r="I25">
        <f>YEAR(data[[#This Row],[session_start]])</f>
        <v>2025</v>
      </c>
      <c r="J25">
        <f>MONTH(data[[#This Row],[session_start]])</f>
        <v>12</v>
      </c>
      <c r="K25" t="str">
        <f>TEXT(data[[#This Row],[session_start]], "mmmm")</f>
        <v>December</v>
      </c>
      <c r="L25">
        <f>WEEKNUM(data[[#This Row],[session_start]])</f>
        <v>49</v>
      </c>
      <c r="M25">
        <f>WEEKDAY(data[[#This Row],[session_start]],2)</f>
        <v>5</v>
      </c>
      <c r="N25" t="str">
        <f>TEXT(data[[#This Row],[session_start]],"dddd")</f>
        <v>Friday</v>
      </c>
      <c r="O25">
        <f>IF(data[[#This Row],[day_of_week]]&gt;5,1,0)</f>
        <v>0</v>
      </c>
      <c r="P25">
        <f>HOUR(data[[#This Row],[session_start]])</f>
        <v>17</v>
      </c>
      <c r="Q25" t="str" cm="1">
        <f t="array" ref="Q25">_xlfn.SWITCH(TRUE, AND(data[[#This Row],[hour]]&gt;=6, data[[#This Row],[hour]]&lt;=11), "Morning", AND(data[[#This Row],[hour]]&gt;=12, data[[#This Row],[hour]]&lt;=17), "Afternoon", AND(data[[#This Row],[hour]]&gt;=18, data[[#This Row],[hour]]&lt;=23), "Evening", TRUE, "Night")</f>
        <v>Afternoon</v>
      </c>
      <c r="R25" t="str" cm="1">
        <f t="array" ref="R25">_xlfn.IFS(data[[#This Row],[session_duration_min]]&lt;=15, "Short", data[[#This Row],[session_duration_min]]&lt;=45, "Medium",  TRUE, "Long")</f>
        <v>Short</v>
      </c>
      <c r="S25">
        <f>IFERROR( ROUND(data[[#This Row],[kills]]/data[[#This Row],[deaths]],2), 0)</f>
        <v>2</v>
      </c>
      <c r="T25">
        <f>IFERROR( ROUND(data[[#This Row],[headshots]]/data[[#This Row],[kills]]*100,2),0)</f>
        <v>88.89</v>
      </c>
      <c r="U25">
        <f>ROUND(data[[#This Row],[kills]]/data[[#This Row],[session_duration_min]],2)</f>
        <v>1.26</v>
      </c>
      <c r="V25" t="str" cm="1">
        <f t="array" ref="V25">_xlfn.SWITCH(TRUE,AND(data[[#This Row],[session_kdr]]&gt;=1.8,data[[#This Row],[session_hs_pct]]&gt;=70),"Good",AND(data[[#This Row],[session_kdr]]&gt;=1.2,data[[#This Row],[session_hs_pct]]&gt;=50),"Average",TRUE,"Poor")</f>
        <v>Good</v>
      </c>
      <c r="W25">
        <f>IF(data[[#This Row],[session_quality]]="Poor", 1,0)</f>
        <v>0</v>
      </c>
    </row>
    <row r="26" spans="1:23" x14ac:dyDescent="0.25">
      <c r="A26">
        <v>25</v>
      </c>
      <c r="B26" s="1">
        <v>45996.803159722222</v>
      </c>
      <c r="C26" s="1">
        <v>45996.824490740742</v>
      </c>
      <c r="D26">
        <v>19</v>
      </c>
      <c r="E26">
        <v>33</v>
      </c>
      <c r="F26">
        <v>20</v>
      </c>
      <c r="G26">
        <v>30.716666666666665</v>
      </c>
      <c r="H26">
        <v>0</v>
      </c>
      <c r="I26">
        <f>YEAR(data[[#This Row],[session_start]])</f>
        <v>2025</v>
      </c>
      <c r="J26">
        <f>MONTH(data[[#This Row],[session_start]])</f>
        <v>12</v>
      </c>
      <c r="K26" t="str">
        <f>TEXT(data[[#This Row],[session_start]], "mmmm")</f>
        <v>December</v>
      </c>
      <c r="L26">
        <f>WEEKNUM(data[[#This Row],[session_start]])</f>
        <v>49</v>
      </c>
      <c r="M26">
        <f>WEEKDAY(data[[#This Row],[session_start]],2)</f>
        <v>5</v>
      </c>
      <c r="N26" t="str">
        <f>TEXT(data[[#This Row],[session_start]],"dddd")</f>
        <v>Friday</v>
      </c>
      <c r="O26">
        <f>IF(data[[#This Row],[day_of_week]]&gt;5,1,0)</f>
        <v>0</v>
      </c>
      <c r="P26">
        <f>HOUR(data[[#This Row],[session_start]])</f>
        <v>19</v>
      </c>
      <c r="Q26" t="str" cm="1">
        <f t="array" ref="Q26">_xlfn.SWITCH(TRUE, AND(data[[#This Row],[hour]]&gt;=6, data[[#This Row],[hour]]&lt;=11), "Morning", AND(data[[#This Row],[hour]]&gt;=12, data[[#This Row],[hour]]&lt;=17), "Afternoon", AND(data[[#This Row],[hour]]&gt;=18, data[[#This Row],[hour]]&lt;=23), "Evening", TRUE, "Night")</f>
        <v>Evening</v>
      </c>
      <c r="R26" t="str" cm="1">
        <f t="array" ref="R26">_xlfn.IFS(data[[#This Row],[session_duration_min]]&lt;=15, "Short", data[[#This Row],[session_duration_min]]&lt;=45, "Medium",  TRUE, "Long")</f>
        <v>Medium</v>
      </c>
      <c r="S26">
        <f>IFERROR( ROUND(data[[#This Row],[kills]]/data[[#This Row],[deaths]],2), 0)</f>
        <v>1.65</v>
      </c>
      <c r="T26">
        <f>IFERROR( ROUND(data[[#This Row],[headshots]]/data[[#This Row],[kills]]*100,2),0)</f>
        <v>57.58</v>
      </c>
      <c r="U26">
        <f>ROUND(data[[#This Row],[kills]]/data[[#This Row],[session_duration_min]],2)</f>
        <v>1.07</v>
      </c>
      <c r="V26" t="str" cm="1">
        <f t="array" ref="V26">_xlfn.SWITCH(TRUE,AND(data[[#This Row],[session_kdr]]&gt;=1.8,data[[#This Row],[session_hs_pct]]&gt;=70),"Good",AND(data[[#This Row],[session_kdr]]&gt;=1.2,data[[#This Row],[session_hs_pct]]&gt;=50),"Average",TRUE,"Poor")</f>
        <v>Average</v>
      </c>
      <c r="W26">
        <f>IF(data[[#This Row],[session_quality]]="Poor", 1,0)</f>
        <v>0</v>
      </c>
    </row>
    <row r="27" spans="1:23" x14ac:dyDescent="0.25">
      <c r="A27">
        <v>26</v>
      </c>
      <c r="B27" s="1">
        <v>45997.024178240739</v>
      </c>
      <c r="C27" s="1">
        <v>45997.037743055553</v>
      </c>
      <c r="D27">
        <v>20</v>
      </c>
      <c r="E27">
        <v>22</v>
      </c>
      <c r="F27">
        <v>14</v>
      </c>
      <c r="G27">
        <v>16.133333333333333</v>
      </c>
      <c r="H27">
        <v>3.4</v>
      </c>
      <c r="I27">
        <f>YEAR(data[[#This Row],[session_start]])</f>
        <v>2025</v>
      </c>
      <c r="J27">
        <f>MONTH(data[[#This Row],[session_start]])</f>
        <v>12</v>
      </c>
      <c r="K27" t="str">
        <f>TEXT(data[[#This Row],[session_start]], "mmmm")</f>
        <v>December</v>
      </c>
      <c r="L27">
        <f>WEEKNUM(data[[#This Row],[session_start]])</f>
        <v>49</v>
      </c>
      <c r="M27">
        <f>WEEKDAY(data[[#This Row],[session_start]],2)</f>
        <v>6</v>
      </c>
      <c r="N27" t="str">
        <f>TEXT(data[[#This Row],[session_start]],"dddd")</f>
        <v>Saturday</v>
      </c>
      <c r="O27">
        <f>IF(data[[#This Row],[day_of_week]]&gt;5,1,0)</f>
        <v>1</v>
      </c>
      <c r="P27">
        <f>HOUR(data[[#This Row],[session_start]])</f>
        <v>0</v>
      </c>
      <c r="Q27" t="str" cm="1">
        <f t="array" ref="Q27">_xlfn.SWITCH(TRUE, AND(data[[#This Row],[hour]]&gt;=6, data[[#This Row],[hour]]&lt;=11), "Morning", AND(data[[#This Row],[hour]]&gt;=12, data[[#This Row],[hour]]&lt;=17), "Afternoon", AND(data[[#This Row],[hour]]&gt;=18, data[[#This Row],[hour]]&lt;=23), "Evening", TRUE, "Night")</f>
        <v>Night</v>
      </c>
      <c r="R27" t="str" cm="1">
        <f t="array" ref="R27">_xlfn.IFS(data[[#This Row],[session_duration_min]]&lt;=15, "Short", data[[#This Row],[session_duration_min]]&lt;=45, "Medium",  TRUE, "Long")</f>
        <v>Medium</v>
      </c>
      <c r="S27">
        <f>IFERROR( ROUND(data[[#This Row],[kills]]/data[[#This Row],[deaths]],2), 0)</f>
        <v>1.57</v>
      </c>
      <c r="T27">
        <f>IFERROR( ROUND(data[[#This Row],[headshots]]/data[[#This Row],[kills]]*100,2),0)</f>
        <v>90.91</v>
      </c>
      <c r="U27">
        <f>ROUND(data[[#This Row],[kills]]/data[[#This Row],[session_duration_min]],2)</f>
        <v>1.36</v>
      </c>
      <c r="V27" t="str" cm="1">
        <f t="array" ref="V27">_xlfn.SWITCH(TRUE,AND(data[[#This Row],[session_kdr]]&gt;=1.8,data[[#This Row],[session_hs_pct]]&gt;=70),"Good",AND(data[[#This Row],[session_kdr]]&gt;=1.2,data[[#This Row],[session_hs_pct]]&gt;=50),"Average",TRUE,"Poor")</f>
        <v>Average</v>
      </c>
      <c r="W27">
        <f>IF(data[[#This Row],[session_quality]]="Poor", 1,0)</f>
        <v>0</v>
      </c>
    </row>
    <row r="28" spans="1:23" x14ac:dyDescent="0.25">
      <c r="A28">
        <v>27</v>
      </c>
      <c r="B28" s="1">
        <v>45998.008993055555</v>
      </c>
      <c r="C28" s="1">
        <v>45998.018043981479</v>
      </c>
      <c r="D28">
        <v>13</v>
      </c>
      <c r="E28">
        <v>15</v>
      </c>
      <c r="F28">
        <v>8</v>
      </c>
      <c r="G28">
        <v>13.033333333333333</v>
      </c>
      <c r="H28">
        <v>0</v>
      </c>
      <c r="I28">
        <f>YEAR(data[[#This Row],[session_start]])</f>
        <v>2025</v>
      </c>
      <c r="J28">
        <f>MONTH(data[[#This Row],[session_start]])</f>
        <v>12</v>
      </c>
      <c r="K28" t="str">
        <f>TEXT(data[[#This Row],[session_start]], "mmmm")</f>
        <v>December</v>
      </c>
      <c r="L28">
        <f>WEEKNUM(data[[#This Row],[session_start]])</f>
        <v>50</v>
      </c>
      <c r="M28">
        <f>WEEKDAY(data[[#This Row],[session_start]],2)</f>
        <v>7</v>
      </c>
      <c r="N28" t="str">
        <f>TEXT(data[[#This Row],[session_start]],"dddd")</f>
        <v>Sunday</v>
      </c>
      <c r="O28">
        <f>IF(data[[#This Row],[day_of_week]]&gt;5,1,0)</f>
        <v>1</v>
      </c>
      <c r="P28">
        <f>HOUR(data[[#This Row],[session_start]])</f>
        <v>0</v>
      </c>
      <c r="Q28" t="str" cm="1">
        <f t="array" ref="Q28">_xlfn.SWITCH(TRUE, AND(data[[#This Row],[hour]]&gt;=6, data[[#This Row],[hour]]&lt;=11), "Morning", AND(data[[#This Row],[hour]]&gt;=12, data[[#This Row],[hour]]&lt;=17), "Afternoon", AND(data[[#This Row],[hour]]&gt;=18, data[[#This Row],[hour]]&lt;=23), "Evening", TRUE, "Night")</f>
        <v>Night</v>
      </c>
      <c r="R28" t="str" cm="1">
        <f t="array" ref="R28">_xlfn.IFS(data[[#This Row],[session_duration_min]]&lt;=15, "Short", data[[#This Row],[session_duration_min]]&lt;=45, "Medium",  TRUE, "Long")</f>
        <v>Short</v>
      </c>
      <c r="S28">
        <f>IFERROR( ROUND(data[[#This Row],[kills]]/data[[#This Row],[deaths]],2), 0)</f>
        <v>1.88</v>
      </c>
      <c r="T28">
        <f>IFERROR( ROUND(data[[#This Row],[headshots]]/data[[#This Row],[kills]]*100,2),0)</f>
        <v>86.67</v>
      </c>
      <c r="U28">
        <f>ROUND(data[[#This Row],[kills]]/data[[#This Row],[session_duration_min]],2)</f>
        <v>1.1499999999999999</v>
      </c>
      <c r="V28" t="str" cm="1">
        <f t="array" ref="V28">_xlfn.SWITCH(TRUE,AND(data[[#This Row],[session_kdr]]&gt;=1.8,data[[#This Row],[session_hs_pct]]&gt;=70),"Good",AND(data[[#This Row],[session_kdr]]&gt;=1.2,data[[#This Row],[session_hs_pct]]&gt;=50),"Average",TRUE,"Poor")</f>
        <v>Good</v>
      </c>
      <c r="W28">
        <f>IF(data[[#This Row],[session_quality]]="Poor", 1,0)</f>
        <v>0</v>
      </c>
    </row>
    <row r="29" spans="1:23" x14ac:dyDescent="0.25">
      <c r="A29">
        <v>28</v>
      </c>
      <c r="B29" s="1">
        <v>45998.064479166664</v>
      </c>
      <c r="C29" s="1">
        <v>45998.081550925926</v>
      </c>
      <c r="D29">
        <v>11</v>
      </c>
      <c r="E29">
        <v>16</v>
      </c>
      <c r="F29">
        <v>26</v>
      </c>
      <c r="G29">
        <v>24.433333333333334</v>
      </c>
      <c r="H29">
        <v>0.15</v>
      </c>
      <c r="I29">
        <f>YEAR(data[[#This Row],[session_start]])</f>
        <v>2025</v>
      </c>
      <c r="J29">
        <f>MONTH(data[[#This Row],[session_start]])</f>
        <v>12</v>
      </c>
      <c r="K29" t="str">
        <f>TEXT(data[[#This Row],[session_start]], "mmmm")</f>
        <v>December</v>
      </c>
      <c r="L29">
        <f>WEEKNUM(data[[#This Row],[session_start]])</f>
        <v>50</v>
      </c>
      <c r="M29">
        <f>WEEKDAY(data[[#This Row],[session_start]],2)</f>
        <v>7</v>
      </c>
      <c r="N29" t="str">
        <f>TEXT(data[[#This Row],[session_start]],"dddd")</f>
        <v>Sunday</v>
      </c>
      <c r="O29">
        <f>IF(data[[#This Row],[day_of_week]]&gt;5,1,0)</f>
        <v>1</v>
      </c>
      <c r="P29">
        <f>HOUR(data[[#This Row],[session_start]])</f>
        <v>1</v>
      </c>
      <c r="Q29" t="str" cm="1">
        <f t="array" ref="Q29">_xlfn.SWITCH(TRUE, AND(data[[#This Row],[hour]]&gt;=6, data[[#This Row],[hour]]&lt;=11), "Morning", AND(data[[#This Row],[hour]]&gt;=12, data[[#This Row],[hour]]&lt;=17), "Afternoon", AND(data[[#This Row],[hour]]&gt;=18, data[[#This Row],[hour]]&lt;=23), "Evening", TRUE, "Night")</f>
        <v>Night</v>
      </c>
      <c r="R29" t="str" cm="1">
        <f t="array" ref="R29">_xlfn.IFS(data[[#This Row],[session_duration_min]]&lt;=15, "Short", data[[#This Row],[session_duration_min]]&lt;=45, "Medium",  TRUE, "Long")</f>
        <v>Medium</v>
      </c>
      <c r="S29">
        <f>IFERROR( ROUND(data[[#This Row],[kills]]/data[[#This Row],[deaths]],2), 0)</f>
        <v>0.62</v>
      </c>
      <c r="T29">
        <f>IFERROR( ROUND(data[[#This Row],[headshots]]/data[[#This Row],[kills]]*100,2),0)</f>
        <v>68.75</v>
      </c>
      <c r="U29">
        <f>ROUND(data[[#This Row],[kills]]/data[[#This Row],[session_duration_min]],2)</f>
        <v>0.65</v>
      </c>
      <c r="V29" t="str" cm="1">
        <f t="array" ref="V29">_xlfn.SWITCH(TRUE,AND(data[[#This Row],[session_kdr]]&gt;=1.8,data[[#This Row],[session_hs_pct]]&gt;=70),"Good",AND(data[[#This Row],[session_kdr]]&gt;=1.2,data[[#This Row],[session_hs_pct]]&gt;=50),"Average",TRUE,"Poor")</f>
        <v>Poor</v>
      </c>
      <c r="W29">
        <f>IF(data[[#This Row],[session_quality]]="Poor", 1,0)</f>
        <v>1</v>
      </c>
    </row>
    <row r="30" spans="1:23" x14ac:dyDescent="0.25">
      <c r="A30">
        <v>29</v>
      </c>
      <c r="B30" s="1">
        <v>45998.819490740738</v>
      </c>
      <c r="C30" s="1">
        <v>45998.8674537037</v>
      </c>
      <c r="D30">
        <v>77</v>
      </c>
      <c r="E30">
        <v>103</v>
      </c>
      <c r="F30">
        <v>55</v>
      </c>
      <c r="G30">
        <v>69.066666666666663</v>
      </c>
      <c r="H30">
        <v>0</v>
      </c>
      <c r="I30">
        <f>YEAR(data[[#This Row],[session_start]])</f>
        <v>2025</v>
      </c>
      <c r="J30">
        <f>MONTH(data[[#This Row],[session_start]])</f>
        <v>12</v>
      </c>
      <c r="K30" t="str">
        <f>TEXT(data[[#This Row],[session_start]], "mmmm")</f>
        <v>December</v>
      </c>
      <c r="L30">
        <f>WEEKNUM(data[[#This Row],[session_start]])</f>
        <v>50</v>
      </c>
      <c r="M30">
        <f>WEEKDAY(data[[#This Row],[session_start]],2)</f>
        <v>7</v>
      </c>
      <c r="N30" t="str">
        <f>TEXT(data[[#This Row],[session_start]],"dddd")</f>
        <v>Sunday</v>
      </c>
      <c r="O30">
        <f>IF(data[[#This Row],[day_of_week]]&gt;5,1,0)</f>
        <v>1</v>
      </c>
      <c r="P30">
        <f>HOUR(data[[#This Row],[session_start]])</f>
        <v>19</v>
      </c>
      <c r="Q30" t="str" cm="1">
        <f t="array" ref="Q30">_xlfn.SWITCH(TRUE, AND(data[[#This Row],[hour]]&gt;=6, data[[#This Row],[hour]]&lt;=11), "Morning", AND(data[[#This Row],[hour]]&gt;=12, data[[#This Row],[hour]]&lt;=17), "Afternoon", AND(data[[#This Row],[hour]]&gt;=18, data[[#This Row],[hour]]&lt;=23), "Evening", TRUE, "Night")</f>
        <v>Evening</v>
      </c>
      <c r="R30" t="str" cm="1">
        <f t="array" ref="R30">_xlfn.IFS(data[[#This Row],[session_duration_min]]&lt;=15, "Short", data[[#This Row],[session_duration_min]]&lt;=45, "Medium",  TRUE, "Long")</f>
        <v>Long</v>
      </c>
      <c r="S30">
        <f>IFERROR( ROUND(data[[#This Row],[kills]]/data[[#This Row],[deaths]],2), 0)</f>
        <v>1.87</v>
      </c>
      <c r="T30">
        <f>IFERROR( ROUND(data[[#This Row],[headshots]]/data[[#This Row],[kills]]*100,2),0)</f>
        <v>74.760000000000005</v>
      </c>
      <c r="U30">
        <f>ROUND(data[[#This Row],[kills]]/data[[#This Row],[session_duration_min]],2)</f>
        <v>1.49</v>
      </c>
      <c r="V30" t="str" cm="1">
        <f t="array" ref="V30">_xlfn.SWITCH(TRUE,AND(data[[#This Row],[session_kdr]]&gt;=1.8,data[[#This Row],[session_hs_pct]]&gt;=70),"Good",AND(data[[#This Row],[session_kdr]]&gt;=1.2,data[[#This Row],[session_hs_pct]]&gt;=50),"Average",TRUE,"Poor")</f>
        <v>Good</v>
      </c>
      <c r="W30">
        <f>IF(data[[#This Row],[session_quality]]="Poor", 1,0)</f>
        <v>0</v>
      </c>
    </row>
    <row r="31" spans="1:23" x14ac:dyDescent="0.25">
      <c r="A31">
        <v>30</v>
      </c>
      <c r="B31" s="1">
        <v>45998.964178240742</v>
      </c>
      <c r="C31" s="1">
        <v>45998.975023148145</v>
      </c>
      <c r="D31">
        <v>7</v>
      </c>
      <c r="E31">
        <v>11</v>
      </c>
      <c r="F31">
        <v>12</v>
      </c>
      <c r="G31">
        <v>15.616666666666667</v>
      </c>
      <c r="H31">
        <v>0</v>
      </c>
      <c r="I31">
        <f>YEAR(data[[#This Row],[session_start]])</f>
        <v>2025</v>
      </c>
      <c r="J31">
        <f>MONTH(data[[#This Row],[session_start]])</f>
        <v>12</v>
      </c>
      <c r="K31" t="str">
        <f>TEXT(data[[#This Row],[session_start]], "mmmm")</f>
        <v>December</v>
      </c>
      <c r="L31">
        <f>WEEKNUM(data[[#This Row],[session_start]])</f>
        <v>50</v>
      </c>
      <c r="M31">
        <f>WEEKDAY(data[[#This Row],[session_start]],2)</f>
        <v>7</v>
      </c>
      <c r="N31" t="str">
        <f>TEXT(data[[#This Row],[session_start]],"dddd")</f>
        <v>Sunday</v>
      </c>
      <c r="O31">
        <f>IF(data[[#This Row],[day_of_week]]&gt;5,1,0)</f>
        <v>1</v>
      </c>
      <c r="P31">
        <f>HOUR(data[[#This Row],[session_start]])</f>
        <v>23</v>
      </c>
      <c r="Q31" t="str" cm="1">
        <f t="array" ref="Q31">_xlfn.SWITCH(TRUE, AND(data[[#This Row],[hour]]&gt;=6, data[[#This Row],[hour]]&lt;=11), "Morning", AND(data[[#This Row],[hour]]&gt;=12, data[[#This Row],[hour]]&lt;=17), "Afternoon", AND(data[[#This Row],[hour]]&gt;=18, data[[#This Row],[hour]]&lt;=23), "Evening", TRUE, "Night")</f>
        <v>Evening</v>
      </c>
      <c r="R31" t="str" cm="1">
        <f t="array" ref="R31">_xlfn.IFS(data[[#This Row],[session_duration_min]]&lt;=15, "Short", data[[#This Row],[session_duration_min]]&lt;=45, "Medium",  TRUE, "Long")</f>
        <v>Medium</v>
      </c>
      <c r="S31">
        <f>IFERROR( ROUND(data[[#This Row],[kills]]/data[[#This Row],[deaths]],2), 0)</f>
        <v>0.92</v>
      </c>
      <c r="T31">
        <f>IFERROR( ROUND(data[[#This Row],[headshots]]/data[[#This Row],[kills]]*100,2),0)</f>
        <v>63.64</v>
      </c>
      <c r="U31">
        <f>ROUND(data[[#This Row],[kills]]/data[[#This Row],[session_duration_min]],2)</f>
        <v>0.7</v>
      </c>
      <c r="V31" t="str" cm="1">
        <f t="array" ref="V31">_xlfn.SWITCH(TRUE,AND(data[[#This Row],[session_kdr]]&gt;=1.8,data[[#This Row],[session_hs_pct]]&gt;=70),"Good",AND(data[[#This Row],[session_kdr]]&gt;=1.2,data[[#This Row],[session_hs_pct]]&gt;=50),"Average",TRUE,"Poor")</f>
        <v>Poor</v>
      </c>
      <c r="W31">
        <f>IF(data[[#This Row],[session_quality]]="Poor", 1,0)</f>
        <v>1</v>
      </c>
    </row>
    <row r="32" spans="1:23" x14ac:dyDescent="0.25">
      <c r="A32">
        <v>31</v>
      </c>
      <c r="B32" s="1">
        <v>46001.889108796298</v>
      </c>
      <c r="C32" s="1">
        <v>46001.899212962962</v>
      </c>
      <c r="D32">
        <v>5</v>
      </c>
      <c r="E32">
        <v>6</v>
      </c>
      <c r="F32">
        <v>12</v>
      </c>
      <c r="G32">
        <v>14.466666666666669</v>
      </c>
      <c r="H32">
        <v>8.3333333333333329E-2</v>
      </c>
      <c r="I32">
        <f>YEAR(data[[#This Row],[session_start]])</f>
        <v>2025</v>
      </c>
      <c r="J32">
        <f>MONTH(data[[#This Row],[session_start]])</f>
        <v>12</v>
      </c>
      <c r="K32" t="str">
        <f>TEXT(data[[#This Row],[session_start]], "mmmm")</f>
        <v>December</v>
      </c>
      <c r="L32">
        <f>WEEKNUM(data[[#This Row],[session_start]])</f>
        <v>50</v>
      </c>
      <c r="M32">
        <f>WEEKDAY(data[[#This Row],[session_start]],2)</f>
        <v>3</v>
      </c>
      <c r="N32" t="str">
        <f>TEXT(data[[#This Row],[session_start]],"dddd")</f>
        <v>Wednesday</v>
      </c>
      <c r="O32">
        <f>IF(data[[#This Row],[day_of_week]]&gt;5,1,0)</f>
        <v>0</v>
      </c>
      <c r="P32">
        <f>HOUR(data[[#This Row],[session_start]])</f>
        <v>21</v>
      </c>
      <c r="Q32" t="str" cm="1">
        <f t="array" ref="Q32">_xlfn.SWITCH(TRUE, AND(data[[#This Row],[hour]]&gt;=6, data[[#This Row],[hour]]&lt;=11), "Morning", AND(data[[#This Row],[hour]]&gt;=12, data[[#This Row],[hour]]&lt;=17), "Afternoon", AND(data[[#This Row],[hour]]&gt;=18, data[[#This Row],[hour]]&lt;=23), "Evening", TRUE, "Night")</f>
        <v>Evening</v>
      </c>
      <c r="R32" t="str" cm="1">
        <f t="array" ref="R32">_xlfn.IFS(data[[#This Row],[session_duration_min]]&lt;=15, "Short", data[[#This Row],[session_duration_min]]&lt;=45, "Medium",  TRUE, "Long")</f>
        <v>Short</v>
      </c>
      <c r="S32">
        <f>IFERROR( ROUND(data[[#This Row],[kills]]/data[[#This Row],[deaths]],2), 0)</f>
        <v>0.5</v>
      </c>
      <c r="T32">
        <f>IFERROR( ROUND(data[[#This Row],[headshots]]/data[[#This Row],[kills]]*100,2),0)</f>
        <v>83.33</v>
      </c>
      <c r="U32">
        <f>ROUND(data[[#This Row],[kills]]/data[[#This Row],[session_duration_min]],2)</f>
        <v>0.41</v>
      </c>
      <c r="V32" t="str" cm="1">
        <f t="array" ref="V32">_xlfn.SWITCH(TRUE,AND(data[[#This Row],[session_kdr]]&gt;=1.8,data[[#This Row],[session_hs_pct]]&gt;=70),"Good",AND(data[[#This Row],[session_kdr]]&gt;=1.2,data[[#This Row],[session_hs_pct]]&gt;=50),"Average",TRUE,"Poor")</f>
        <v>Poor</v>
      </c>
      <c r="W32">
        <f>IF(data[[#This Row],[session_quality]]="Poor", 1,0)</f>
        <v>1</v>
      </c>
    </row>
    <row r="33" spans="1:23" x14ac:dyDescent="0.25">
      <c r="A33">
        <v>32</v>
      </c>
      <c r="B33" s="1">
        <v>46003.761192129627</v>
      </c>
      <c r="C33" s="1">
        <v>46003.765648148146</v>
      </c>
      <c r="D33">
        <v>5</v>
      </c>
      <c r="E33">
        <v>6</v>
      </c>
      <c r="F33">
        <v>4</v>
      </c>
      <c r="G33">
        <v>6.416666666666667</v>
      </c>
      <c r="H33">
        <v>0</v>
      </c>
      <c r="I33">
        <f>YEAR(data[[#This Row],[session_start]])</f>
        <v>2025</v>
      </c>
      <c r="J33">
        <f>MONTH(data[[#This Row],[session_start]])</f>
        <v>12</v>
      </c>
      <c r="K33" t="str">
        <f>TEXT(data[[#This Row],[session_start]], "mmmm")</f>
        <v>December</v>
      </c>
      <c r="L33">
        <f>WEEKNUM(data[[#This Row],[session_start]])</f>
        <v>50</v>
      </c>
      <c r="M33">
        <f>WEEKDAY(data[[#This Row],[session_start]],2)</f>
        <v>5</v>
      </c>
      <c r="N33" t="str">
        <f>TEXT(data[[#This Row],[session_start]],"dddd")</f>
        <v>Friday</v>
      </c>
      <c r="O33">
        <f>IF(data[[#This Row],[day_of_week]]&gt;5,1,0)</f>
        <v>0</v>
      </c>
      <c r="P33">
        <f>HOUR(data[[#This Row],[session_start]])</f>
        <v>18</v>
      </c>
      <c r="Q33" t="str" cm="1">
        <f t="array" ref="Q33">_xlfn.SWITCH(TRUE, AND(data[[#This Row],[hour]]&gt;=6, data[[#This Row],[hour]]&lt;=11), "Morning", AND(data[[#This Row],[hour]]&gt;=12, data[[#This Row],[hour]]&lt;=17), "Afternoon", AND(data[[#This Row],[hour]]&gt;=18, data[[#This Row],[hour]]&lt;=23), "Evening", TRUE, "Night")</f>
        <v>Evening</v>
      </c>
      <c r="R33" t="str" cm="1">
        <f t="array" ref="R33">_xlfn.IFS(data[[#This Row],[session_duration_min]]&lt;=15, "Short", data[[#This Row],[session_duration_min]]&lt;=45, "Medium",  TRUE, "Long")</f>
        <v>Short</v>
      </c>
      <c r="S33">
        <f>IFERROR( ROUND(data[[#This Row],[kills]]/data[[#This Row],[deaths]],2), 0)</f>
        <v>1.5</v>
      </c>
      <c r="T33">
        <f>IFERROR( ROUND(data[[#This Row],[headshots]]/data[[#This Row],[kills]]*100,2),0)</f>
        <v>83.33</v>
      </c>
      <c r="U33">
        <f>ROUND(data[[#This Row],[kills]]/data[[#This Row],[session_duration_min]],2)</f>
        <v>0.94</v>
      </c>
      <c r="V33" t="str" cm="1">
        <f t="array" ref="V33">_xlfn.SWITCH(TRUE,AND(data[[#This Row],[session_kdr]]&gt;=1.8,data[[#This Row],[session_hs_pct]]&gt;=70),"Good",AND(data[[#This Row],[session_kdr]]&gt;=1.2,data[[#This Row],[session_hs_pct]]&gt;=50),"Average",TRUE,"Poor")</f>
        <v>Average</v>
      </c>
      <c r="W33">
        <f>IF(data[[#This Row],[session_quality]]="Poor", 1,0)</f>
        <v>0</v>
      </c>
    </row>
    <row r="34" spans="1:23" x14ac:dyDescent="0.25">
      <c r="A34">
        <v>33</v>
      </c>
      <c r="B34" s="1">
        <v>46004.010509259257</v>
      </c>
      <c r="C34" s="1">
        <v>46004.046747685185</v>
      </c>
      <c r="D34">
        <v>54</v>
      </c>
      <c r="E34">
        <v>71</v>
      </c>
      <c r="F34">
        <v>36</v>
      </c>
      <c r="G34">
        <v>50.516666666666666</v>
      </c>
      <c r="H34">
        <v>1.6666666666666665</v>
      </c>
      <c r="I34">
        <f>YEAR(data[[#This Row],[session_start]])</f>
        <v>2025</v>
      </c>
      <c r="J34">
        <f>MONTH(data[[#This Row],[session_start]])</f>
        <v>12</v>
      </c>
      <c r="K34" t="str">
        <f>TEXT(data[[#This Row],[session_start]], "mmmm")</f>
        <v>December</v>
      </c>
      <c r="L34">
        <f>WEEKNUM(data[[#This Row],[session_start]])</f>
        <v>50</v>
      </c>
      <c r="M34">
        <f>WEEKDAY(data[[#This Row],[session_start]],2)</f>
        <v>6</v>
      </c>
      <c r="N34" t="str">
        <f>TEXT(data[[#This Row],[session_start]],"dddd")</f>
        <v>Saturday</v>
      </c>
      <c r="O34">
        <f>IF(data[[#This Row],[day_of_week]]&gt;5,1,0)</f>
        <v>1</v>
      </c>
      <c r="P34">
        <f>HOUR(data[[#This Row],[session_start]])</f>
        <v>0</v>
      </c>
      <c r="Q34" t="str" cm="1">
        <f t="array" ref="Q34">_xlfn.SWITCH(TRUE, AND(data[[#This Row],[hour]]&gt;=6, data[[#This Row],[hour]]&lt;=11), "Morning", AND(data[[#This Row],[hour]]&gt;=12, data[[#This Row],[hour]]&lt;=17), "Afternoon", AND(data[[#This Row],[hour]]&gt;=18, data[[#This Row],[hour]]&lt;=23), "Evening", TRUE, "Night")</f>
        <v>Night</v>
      </c>
      <c r="R34" t="str" cm="1">
        <f t="array" ref="R34">_xlfn.IFS(data[[#This Row],[session_duration_min]]&lt;=15, "Short", data[[#This Row],[session_duration_min]]&lt;=45, "Medium",  TRUE, "Long")</f>
        <v>Long</v>
      </c>
      <c r="S34">
        <f>IFERROR( ROUND(data[[#This Row],[kills]]/data[[#This Row],[deaths]],2), 0)</f>
        <v>1.97</v>
      </c>
      <c r="T34">
        <f>IFERROR( ROUND(data[[#This Row],[headshots]]/data[[#This Row],[kills]]*100,2),0)</f>
        <v>76.06</v>
      </c>
      <c r="U34">
        <f>ROUND(data[[#This Row],[kills]]/data[[#This Row],[session_duration_min]],2)</f>
        <v>1.41</v>
      </c>
      <c r="V34" t="str" cm="1">
        <f t="array" ref="V34">_xlfn.SWITCH(TRUE,AND(data[[#This Row],[session_kdr]]&gt;=1.8,data[[#This Row],[session_hs_pct]]&gt;=70),"Good",AND(data[[#This Row],[session_kdr]]&gt;=1.2,data[[#This Row],[session_hs_pct]]&gt;=50),"Average",TRUE,"Poor")</f>
        <v>Good</v>
      </c>
      <c r="W34">
        <f>IF(data[[#This Row],[session_quality]]="Poor", 1,0)</f>
        <v>0</v>
      </c>
    </row>
    <row r="35" spans="1:23" x14ac:dyDescent="0.25">
      <c r="A35">
        <v>34</v>
      </c>
      <c r="B35" s="1">
        <v>46004.801678240743</v>
      </c>
      <c r="C35" s="1">
        <v>46004.855439814812</v>
      </c>
      <c r="D35">
        <v>63</v>
      </c>
      <c r="E35">
        <v>84</v>
      </c>
      <c r="F35">
        <v>60</v>
      </c>
      <c r="G35">
        <v>75.916666666666671</v>
      </c>
      <c r="H35">
        <v>1.5</v>
      </c>
      <c r="I35">
        <f>YEAR(data[[#This Row],[session_start]])</f>
        <v>2025</v>
      </c>
      <c r="J35">
        <f>MONTH(data[[#This Row],[session_start]])</f>
        <v>12</v>
      </c>
      <c r="K35" t="str">
        <f>TEXT(data[[#This Row],[session_start]], "mmmm")</f>
        <v>December</v>
      </c>
      <c r="L35">
        <f>WEEKNUM(data[[#This Row],[session_start]])</f>
        <v>50</v>
      </c>
      <c r="M35">
        <f>WEEKDAY(data[[#This Row],[session_start]],2)</f>
        <v>6</v>
      </c>
      <c r="N35" t="str">
        <f>TEXT(data[[#This Row],[session_start]],"dddd")</f>
        <v>Saturday</v>
      </c>
      <c r="O35">
        <f>IF(data[[#This Row],[day_of_week]]&gt;5,1,0)</f>
        <v>1</v>
      </c>
      <c r="P35">
        <f>HOUR(data[[#This Row],[session_start]])</f>
        <v>19</v>
      </c>
      <c r="Q35" t="str" cm="1">
        <f t="array" ref="Q35">_xlfn.SWITCH(TRUE, AND(data[[#This Row],[hour]]&gt;=6, data[[#This Row],[hour]]&lt;=11), "Morning", AND(data[[#This Row],[hour]]&gt;=12, data[[#This Row],[hour]]&lt;=17), "Afternoon", AND(data[[#This Row],[hour]]&gt;=18, data[[#This Row],[hour]]&lt;=23), "Evening", TRUE, "Night")</f>
        <v>Evening</v>
      </c>
      <c r="R35" t="str" cm="1">
        <f t="array" ref="R35">_xlfn.IFS(data[[#This Row],[session_duration_min]]&lt;=15, "Short", data[[#This Row],[session_duration_min]]&lt;=45, "Medium",  TRUE, "Long")</f>
        <v>Long</v>
      </c>
      <c r="S35">
        <f>IFERROR( ROUND(data[[#This Row],[kills]]/data[[#This Row],[deaths]],2), 0)</f>
        <v>1.4</v>
      </c>
      <c r="T35">
        <f>IFERROR( ROUND(data[[#This Row],[headshots]]/data[[#This Row],[kills]]*100,2),0)</f>
        <v>75</v>
      </c>
      <c r="U35">
        <f>ROUND(data[[#This Row],[kills]]/data[[#This Row],[session_duration_min]],2)</f>
        <v>1.1100000000000001</v>
      </c>
      <c r="V35" t="str" cm="1">
        <f t="array" ref="V35">_xlfn.SWITCH(TRUE,AND(data[[#This Row],[session_kdr]]&gt;=1.8,data[[#This Row],[session_hs_pct]]&gt;=70),"Good",AND(data[[#This Row],[session_kdr]]&gt;=1.2,data[[#This Row],[session_hs_pct]]&gt;=50),"Average",TRUE,"Poor")</f>
        <v>Average</v>
      </c>
      <c r="W35">
        <f>IF(data[[#This Row],[session_quality]]="Poor", 1,0)</f>
        <v>0</v>
      </c>
    </row>
    <row r="36" spans="1:23" x14ac:dyDescent="0.25">
      <c r="A36">
        <v>36</v>
      </c>
      <c r="B36" s="1">
        <v>46007.059861111113</v>
      </c>
      <c r="C36" s="1">
        <v>46007.069652777776</v>
      </c>
      <c r="D36">
        <v>22</v>
      </c>
      <c r="E36">
        <v>24</v>
      </c>
      <c r="F36">
        <v>6</v>
      </c>
      <c r="G36">
        <v>14.1</v>
      </c>
      <c r="H36">
        <v>0</v>
      </c>
      <c r="I36">
        <f>YEAR(data[[#This Row],[session_start]])</f>
        <v>2025</v>
      </c>
      <c r="J36">
        <f>MONTH(data[[#This Row],[session_start]])</f>
        <v>12</v>
      </c>
      <c r="K36" t="str">
        <f>TEXT(data[[#This Row],[session_start]], "mmmm")</f>
        <v>December</v>
      </c>
      <c r="L36">
        <f>WEEKNUM(data[[#This Row],[session_start]])</f>
        <v>51</v>
      </c>
      <c r="M36">
        <f>WEEKDAY(data[[#This Row],[session_start]],2)</f>
        <v>2</v>
      </c>
      <c r="N36" t="str">
        <f>TEXT(data[[#This Row],[session_start]],"dddd")</f>
        <v>Tuesday</v>
      </c>
      <c r="O36">
        <f>IF(data[[#This Row],[day_of_week]]&gt;5,1,0)</f>
        <v>0</v>
      </c>
      <c r="P36">
        <f>HOUR(data[[#This Row],[session_start]])</f>
        <v>1</v>
      </c>
      <c r="Q36" t="str" cm="1">
        <f t="array" ref="Q36">_xlfn.SWITCH(TRUE, AND(data[[#This Row],[hour]]&gt;=6, data[[#This Row],[hour]]&lt;=11), "Morning", AND(data[[#This Row],[hour]]&gt;=12, data[[#This Row],[hour]]&lt;=17), "Afternoon", AND(data[[#This Row],[hour]]&gt;=18, data[[#This Row],[hour]]&lt;=23), "Evening", TRUE, "Night")</f>
        <v>Night</v>
      </c>
      <c r="R36" t="str" cm="1">
        <f t="array" ref="R36">_xlfn.IFS(data[[#This Row],[session_duration_min]]&lt;=15, "Short", data[[#This Row],[session_duration_min]]&lt;=45, "Medium",  TRUE, "Long")</f>
        <v>Short</v>
      </c>
      <c r="S36">
        <f>IFERROR( ROUND(data[[#This Row],[kills]]/data[[#This Row],[deaths]],2), 0)</f>
        <v>4</v>
      </c>
      <c r="T36">
        <f>IFERROR( ROUND(data[[#This Row],[headshots]]/data[[#This Row],[kills]]*100,2),0)</f>
        <v>91.67</v>
      </c>
      <c r="U36">
        <f>ROUND(data[[#This Row],[kills]]/data[[#This Row],[session_duration_min]],2)</f>
        <v>1.7</v>
      </c>
      <c r="V36" t="str" cm="1">
        <f t="array" ref="V36">_xlfn.SWITCH(TRUE,AND(data[[#This Row],[session_kdr]]&gt;=1.8,data[[#This Row],[session_hs_pct]]&gt;=70),"Good",AND(data[[#This Row],[session_kdr]]&gt;=1.2,data[[#This Row],[session_hs_pct]]&gt;=50),"Average",TRUE,"Poor")</f>
        <v>Good</v>
      </c>
      <c r="W36">
        <f>IF(data[[#This Row],[session_quality]]="Poor", 1,0)</f>
        <v>0</v>
      </c>
    </row>
    <row r="37" spans="1:23" x14ac:dyDescent="0.25">
      <c r="A37">
        <v>37</v>
      </c>
      <c r="B37" s="1">
        <v>46009.932488425926</v>
      </c>
      <c r="C37" s="1">
        <v>46009.955625000002</v>
      </c>
      <c r="D37">
        <v>22</v>
      </c>
      <c r="E37">
        <v>36</v>
      </c>
      <c r="F37">
        <v>30</v>
      </c>
      <c r="G37">
        <v>33.31666666666667</v>
      </c>
      <c r="H37">
        <v>0</v>
      </c>
      <c r="I37">
        <f>YEAR(data[[#This Row],[session_start]])</f>
        <v>2025</v>
      </c>
      <c r="J37">
        <f>MONTH(data[[#This Row],[session_start]])</f>
        <v>12</v>
      </c>
      <c r="K37" t="str">
        <f>TEXT(data[[#This Row],[session_start]], "mmmm")</f>
        <v>December</v>
      </c>
      <c r="L37">
        <f>WEEKNUM(data[[#This Row],[session_start]])</f>
        <v>51</v>
      </c>
      <c r="M37">
        <f>WEEKDAY(data[[#This Row],[session_start]],2)</f>
        <v>4</v>
      </c>
      <c r="N37" t="str">
        <f>TEXT(data[[#This Row],[session_start]],"dddd")</f>
        <v>Thursday</v>
      </c>
      <c r="O37">
        <f>IF(data[[#This Row],[day_of_week]]&gt;5,1,0)</f>
        <v>0</v>
      </c>
      <c r="P37">
        <f>HOUR(data[[#This Row],[session_start]])</f>
        <v>22</v>
      </c>
      <c r="Q37" t="str" cm="1">
        <f t="array" ref="Q37">_xlfn.SWITCH(TRUE, AND(data[[#This Row],[hour]]&gt;=6, data[[#This Row],[hour]]&lt;=11), "Morning", AND(data[[#This Row],[hour]]&gt;=12, data[[#This Row],[hour]]&lt;=17), "Afternoon", AND(data[[#This Row],[hour]]&gt;=18, data[[#This Row],[hour]]&lt;=23), "Evening", TRUE, "Night")</f>
        <v>Evening</v>
      </c>
      <c r="R37" t="str" cm="1">
        <f t="array" ref="R37">_xlfn.IFS(data[[#This Row],[session_duration_min]]&lt;=15, "Short", data[[#This Row],[session_duration_min]]&lt;=45, "Medium",  TRUE, "Long")</f>
        <v>Medium</v>
      </c>
      <c r="S37">
        <f>IFERROR( ROUND(data[[#This Row],[kills]]/data[[#This Row],[deaths]],2), 0)</f>
        <v>1.2</v>
      </c>
      <c r="T37">
        <f>IFERROR( ROUND(data[[#This Row],[headshots]]/data[[#This Row],[kills]]*100,2),0)</f>
        <v>61.11</v>
      </c>
      <c r="U37">
        <f>ROUND(data[[#This Row],[kills]]/data[[#This Row],[session_duration_min]],2)</f>
        <v>1.08</v>
      </c>
      <c r="V37" t="str" cm="1">
        <f t="array" ref="V37">_xlfn.SWITCH(TRUE,AND(data[[#This Row],[session_kdr]]&gt;=1.8,data[[#This Row],[session_hs_pct]]&gt;=70),"Good",AND(data[[#This Row],[session_kdr]]&gt;=1.2,data[[#This Row],[session_hs_pct]]&gt;=50),"Average",TRUE,"Poor")</f>
        <v>Average</v>
      </c>
      <c r="W37">
        <f>IF(data[[#This Row],[session_quality]]="Poor", 1,0)</f>
        <v>0</v>
      </c>
    </row>
    <row r="38" spans="1:23" x14ac:dyDescent="0.25">
      <c r="A38">
        <v>39</v>
      </c>
      <c r="B38" s="1">
        <v>46009.971666666665</v>
      </c>
      <c r="C38" s="1">
        <v>46009.995509259257</v>
      </c>
      <c r="D38">
        <v>27</v>
      </c>
      <c r="E38">
        <v>38</v>
      </c>
      <c r="F38">
        <v>25</v>
      </c>
      <c r="G38">
        <v>34.15</v>
      </c>
      <c r="H38">
        <v>0.18333333333333332</v>
      </c>
      <c r="I38">
        <f>YEAR(data[[#This Row],[session_start]])</f>
        <v>2025</v>
      </c>
      <c r="J38">
        <f>MONTH(data[[#This Row],[session_start]])</f>
        <v>12</v>
      </c>
      <c r="K38" t="str">
        <f>TEXT(data[[#This Row],[session_start]], "mmmm")</f>
        <v>December</v>
      </c>
      <c r="L38">
        <f>WEEKNUM(data[[#This Row],[session_start]])</f>
        <v>51</v>
      </c>
      <c r="M38">
        <f>WEEKDAY(data[[#This Row],[session_start]],2)</f>
        <v>4</v>
      </c>
      <c r="N38" t="str">
        <f>TEXT(data[[#This Row],[session_start]],"dddd")</f>
        <v>Thursday</v>
      </c>
      <c r="O38">
        <f>IF(data[[#This Row],[day_of_week]]&gt;5,1,0)</f>
        <v>0</v>
      </c>
      <c r="P38">
        <f>HOUR(data[[#This Row],[session_start]])</f>
        <v>23</v>
      </c>
      <c r="Q38" t="str" cm="1">
        <f t="array" ref="Q38">_xlfn.SWITCH(TRUE, AND(data[[#This Row],[hour]]&gt;=6, data[[#This Row],[hour]]&lt;=11), "Morning", AND(data[[#This Row],[hour]]&gt;=12, data[[#This Row],[hour]]&lt;=17), "Afternoon", AND(data[[#This Row],[hour]]&gt;=18, data[[#This Row],[hour]]&lt;=23), "Evening", TRUE, "Night")</f>
        <v>Evening</v>
      </c>
      <c r="R38" t="str" cm="1">
        <f t="array" ref="R38">_xlfn.IFS(data[[#This Row],[session_duration_min]]&lt;=15, "Short", data[[#This Row],[session_duration_min]]&lt;=45, "Medium",  TRUE, "Long")</f>
        <v>Medium</v>
      </c>
      <c r="S38">
        <f>IFERROR( ROUND(data[[#This Row],[kills]]/data[[#This Row],[deaths]],2), 0)</f>
        <v>1.52</v>
      </c>
      <c r="T38">
        <f>IFERROR( ROUND(data[[#This Row],[headshots]]/data[[#This Row],[kills]]*100,2),0)</f>
        <v>71.05</v>
      </c>
      <c r="U38">
        <f>ROUND(data[[#This Row],[kills]]/data[[#This Row],[session_duration_min]],2)</f>
        <v>1.1100000000000001</v>
      </c>
      <c r="V38" t="str" cm="1">
        <f t="array" ref="V38">_xlfn.SWITCH(TRUE,AND(data[[#This Row],[session_kdr]]&gt;=1.8,data[[#This Row],[session_hs_pct]]&gt;=70),"Good",AND(data[[#This Row],[session_kdr]]&gt;=1.2,data[[#This Row],[session_hs_pct]]&gt;=50),"Average",TRUE,"Poor")</f>
        <v>Average</v>
      </c>
      <c r="W38">
        <f>IF(data[[#This Row],[session_quality]]="Poor", 1,0)</f>
        <v>0</v>
      </c>
    </row>
    <row r="39" spans="1:23" x14ac:dyDescent="0.25">
      <c r="A39">
        <v>40</v>
      </c>
      <c r="B39" s="1">
        <v>46010.002708333333</v>
      </c>
      <c r="C39" s="1">
        <v>46010.010231481479</v>
      </c>
      <c r="D39">
        <v>6</v>
      </c>
      <c r="E39">
        <v>9</v>
      </c>
      <c r="F39">
        <v>7</v>
      </c>
      <c r="G39">
        <v>10.833333333333334</v>
      </c>
      <c r="H39">
        <v>0</v>
      </c>
      <c r="I39">
        <f>YEAR(data[[#This Row],[session_start]])</f>
        <v>2025</v>
      </c>
      <c r="J39">
        <f>MONTH(data[[#This Row],[session_start]])</f>
        <v>12</v>
      </c>
      <c r="K39" t="str">
        <f>TEXT(data[[#This Row],[session_start]], "mmmm")</f>
        <v>December</v>
      </c>
      <c r="L39">
        <f>WEEKNUM(data[[#This Row],[session_start]])</f>
        <v>51</v>
      </c>
      <c r="M39">
        <f>WEEKDAY(data[[#This Row],[session_start]],2)</f>
        <v>5</v>
      </c>
      <c r="N39" t="str">
        <f>TEXT(data[[#This Row],[session_start]],"dddd")</f>
        <v>Friday</v>
      </c>
      <c r="O39">
        <f>IF(data[[#This Row],[day_of_week]]&gt;5,1,0)</f>
        <v>0</v>
      </c>
      <c r="P39">
        <f>HOUR(data[[#This Row],[session_start]])</f>
        <v>0</v>
      </c>
      <c r="Q39" t="str" cm="1">
        <f t="array" ref="Q39">_xlfn.SWITCH(TRUE, AND(data[[#This Row],[hour]]&gt;=6, data[[#This Row],[hour]]&lt;=11), "Morning", AND(data[[#This Row],[hour]]&gt;=12, data[[#This Row],[hour]]&lt;=17), "Afternoon", AND(data[[#This Row],[hour]]&gt;=18, data[[#This Row],[hour]]&lt;=23), "Evening", TRUE, "Night")</f>
        <v>Night</v>
      </c>
      <c r="R39" t="str" cm="1">
        <f t="array" ref="R39">_xlfn.IFS(data[[#This Row],[session_duration_min]]&lt;=15, "Short", data[[#This Row],[session_duration_min]]&lt;=45, "Medium",  TRUE, "Long")</f>
        <v>Short</v>
      </c>
      <c r="S39">
        <f>IFERROR( ROUND(data[[#This Row],[kills]]/data[[#This Row],[deaths]],2), 0)</f>
        <v>1.29</v>
      </c>
      <c r="T39">
        <f>IFERROR( ROUND(data[[#This Row],[headshots]]/data[[#This Row],[kills]]*100,2),0)</f>
        <v>66.67</v>
      </c>
      <c r="U39">
        <f>ROUND(data[[#This Row],[kills]]/data[[#This Row],[session_duration_min]],2)</f>
        <v>0.83</v>
      </c>
      <c r="V39" t="str" cm="1">
        <f t="array" ref="V39">_xlfn.SWITCH(TRUE,AND(data[[#This Row],[session_kdr]]&gt;=1.8,data[[#This Row],[session_hs_pct]]&gt;=70),"Good",AND(data[[#This Row],[session_kdr]]&gt;=1.2,data[[#This Row],[session_hs_pct]]&gt;=50),"Average",TRUE,"Poor")</f>
        <v>Average</v>
      </c>
      <c r="W39">
        <f>IF(data[[#This Row],[session_quality]]="Poor", 1,0)</f>
        <v>0</v>
      </c>
    </row>
    <row r="40" spans="1:23" x14ac:dyDescent="0.25">
      <c r="A40">
        <v>41</v>
      </c>
      <c r="B40" s="1">
        <v>46010.924270833333</v>
      </c>
      <c r="C40" s="1">
        <v>46010.938506944447</v>
      </c>
      <c r="D40">
        <v>16</v>
      </c>
      <c r="E40">
        <v>25</v>
      </c>
      <c r="F40">
        <v>21</v>
      </c>
      <c r="G40">
        <v>20.5</v>
      </c>
      <c r="H40">
        <v>0</v>
      </c>
      <c r="I40">
        <f>YEAR(data[[#This Row],[session_start]])</f>
        <v>2025</v>
      </c>
      <c r="J40">
        <f>MONTH(data[[#This Row],[session_start]])</f>
        <v>12</v>
      </c>
      <c r="K40" t="str">
        <f>TEXT(data[[#This Row],[session_start]], "mmmm")</f>
        <v>December</v>
      </c>
      <c r="L40">
        <f>WEEKNUM(data[[#This Row],[session_start]])</f>
        <v>51</v>
      </c>
      <c r="M40">
        <f>WEEKDAY(data[[#This Row],[session_start]],2)</f>
        <v>5</v>
      </c>
      <c r="N40" t="str">
        <f>TEXT(data[[#This Row],[session_start]],"dddd")</f>
        <v>Friday</v>
      </c>
      <c r="O40">
        <f>IF(data[[#This Row],[day_of_week]]&gt;5,1,0)</f>
        <v>0</v>
      </c>
      <c r="P40">
        <f>HOUR(data[[#This Row],[session_start]])</f>
        <v>22</v>
      </c>
      <c r="Q40" t="str" cm="1">
        <f t="array" ref="Q40">_xlfn.SWITCH(TRUE, AND(data[[#This Row],[hour]]&gt;=6, data[[#This Row],[hour]]&lt;=11), "Morning", AND(data[[#This Row],[hour]]&gt;=12, data[[#This Row],[hour]]&lt;=17), "Afternoon", AND(data[[#This Row],[hour]]&gt;=18, data[[#This Row],[hour]]&lt;=23), "Evening", TRUE, "Night")</f>
        <v>Evening</v>
      </c>
      <c r="R40" t="str" cm="1">
        <f t="array" ref="R40">_xlfn.IFS(data[[#This Row],[session_duration_min]]&lt;=15, "Short", data[[#This Row],[session_duration_min]]&lt;=45, "Medium",  TRUE, "Long")</f>
        <v>Medium</v>
      </c>
      <c r="S40">
        <f>IFERROR( ROUND(data[[#This Row],[kills]]/data[[#This Row],[deaths]],2), 0)</f>
        <v>1.19</v>
      </c>
      <c r="T40">
        <f>IFERROR( ROUND(data[[#This Row],[headshots]]/data[[#This Row],[kills]]*100,2),0)</f>
        <v>64</v>
      </c>
      <c r="U40">
        <f>ROUND(data[[#This Row],[kills]]/data[[#This Row],[session_duration_min]],2)</f>
        <v>1.22</v>
      </c>
      <c r="V40" t="str" cm="1">
        <f t="array" ref="V40">_xlfn.SWITCH(TRUE,AND(data[[#This Row],[session_kdr]]&gt;=1.8,data[[#This Row],[session_hs_pct]]&gt;=70),"Good",AND(data[[#This Row],[session_kdr]]&gt;=1.2,data[[#This Row],[session_hs_pct]]&gt;=50),"Average",TRUE,"Poor")</f>
        <v>Poor</v>
      </c>
      <c r="W40">
        <f>IF(data[[#This Row],[session_quality]]="Poor", 1,0)</f>
        <v>1</v>
      </c>
    </row>
    <row r="41" spans="1:23" x14ac:dyDescent="0.25">
      <c r="A41">
        <v>42</v>
      </c>
      <c r="B41" s="1">
        <v>46011.003055555557</v>
      </c>
      <c r="C41" s="1">
        <v>46011.008194444446</v>
      </c>
      <c r="D41">
        <v>7</v>
      </c>
      <c r="E41">
        <v>9</v>
      </c>
      <c r="F41">
        <v>6</v>
      </c>
      <c r="G41">
        <v>7.4</v>
      </c>
      <c r="H41">
        <v>0</v>
      </c>
      <c r="I41">
        <f>YEAR(data[[#This Row],[session_start]])</f>
        <v>2025</v>
      </c>
      <c r="J41">
        <f>MONTH(data[[#This Row],[session_start]])</f>
        <v>12</v>
      </c>
      <c r="K41" t="str">
        <f>TEXT(data[[#This Row],[session_start]], "mmmm")</f>
        <v>December</v>
      </c>
      <c r="L41">
        <f>WEEKNUM(data[[#This Row],[session_start]])</f>
        <v>51</v>
      </c>
      <c r="M41">
        <f>WEEKDAY(data[[#This Row],[session_start]],2)</f>
        <v>6</v>
      </c>
      <c r="N41" t="str">
        <f>TEXT(data[[#This Row],[session_start]],"dddd")</f>
        <v>Saturday</v>
      </c>
      <c r="O41">
        <f>IF(data[[#This Row],[day_of_week]]&gt;5,1,0)</f>
        <v>1</v>
      </c>
      <c r="P41">
        <f>HOUR(data[[#This Row],[session_start]])</f>
        <v>0</v>
      </c>
      <c r="Q41" t="str" cm="1">
        <f t="array" ref="Q41">_xlfn.SWITCH(TRUE, AND(data[[#This Row],[hour]]&gt;=6, data[[#This Row],[hour]]&lt;=11), "Morning", AND(data[[#This Row],[hour]]&gt;=12, data[[#This Row],[hour]]&lt;=17), "Afternoon", AND(data[[#This Row],[hour]]&gt;=18, data[[#This Row],[hour]]&lt;=23), "Evening", TRUE, "Night")</f>
        <v>Night</v>
      </c>
      <c r="R41" t="str" cm="1">
        <f t="array" ref="R41">_xlfn.IFS(data[[#This Row],[session_duration_min]]&lt;=15, "Short", data[[#This Row],[session_duration_min]]&lt;=45, "Medium",  TRUE, "Long")</f>
        <v>Short</v>
      </c>
      <c r="S41">
        <f>IFERROR( ROUND(data[[#This Row],[kills]]/data[[#This Row],[deaths]],2), 0)</f>
        <v>1.5</v>
      </c>
      <c r="T41">
        <f>IFERROR( ROUND(data[[#This Row],[headshots]]/data[[#This Row],[kills]]*100,2),0)</f>
        <v>77.78</v>
      </c>
      <c r="U41">
        <f>ROUND(data[[#This Row],[kills]]/data[[#This Row],[session_duration_min]],2)</f>
        <v>1.22</v>
      </c>
      <c r="V41" t="str" cm="1">
        <f t="array" ref="V41">_xlfn.SWITCH(TRUE,AND(data[[#This Row],[session_kdr]]&gt;=1.8,data[[#This Row],[session_hs_pct]]&gt;=70),"Good",AND(data[[#This Row],[session_kdr]]&gt;=1.2,data[[#This Row],[session_hs_pct]]&gt;=50),"Average",TRUE,"Poor")</f>
        <v>Average</v>
      </c>
      <c r="W41">
        <f>IF(data[[#This Row],[session_quality]]="Poor", 1,0)</f>
        <v>0</v>
      </c>
    </row>
    <row r="42" spans="1:23" x14ac:dyDescent="0.25">
      <c r="A42">
        <v>43</v>
      </c>
      <c r="B42" s="1">
        <v>46019.022905092592</v>
      </c>
      <c r="C42" s="1">
        <v>46019.049097222225</v>
      </c>
      <c r="D42">
        <v>30</v>
      </c>
      <c r="E42">
        <v>47</v>
      </c>
      <c r="F42">
        <v>29</v>
      </c>
      <c r="G42">
        <v>37.716666666666669</v>
      </c>
      <c r="H42">
        <v>0</v>
      </c>
      <c r="I42">
        <f>YEAR(data[[#This Row],[session_start]])</f>
        <v>2025</v>
      </c>
      <c r="J42">
        <f>MONTH(data[[#This Row],[session_start]])</f>
        <v>12</v>
      </c>
      <c r="K42" t="str">
        <f>TEXT(data[[#This Row],[session_start]], "mmmm")</f>
        <v>December</v>
      </c>
      <c r="L42">
        <f>WEEKNUM(data[[#This Row],[session_start]])</f>
        <v>53</v>
      </c>
      <c r="M42">
        <f>WEEKDAY(data[[#This Row],[session_start]],2)</f>
        <v>7</v>
      </c>
      <c r="N42" t="str">
        <f>TEXT(data[[#This Row],[session_start]],"dddd")</f>
        <v>Sunday</v>
      </c>
      <c r="O42">
        <f>IF(data[[#This Row],[day_of_week]]&gt;5,1,0)</f>
        <v>1</v>
      </c>
      <c r="P42">
        <f>HOUR(data[[#This Row],[session_start]])</f>
        <v>0</v>
      </c>
      <c r="Q42" t="str" cm="1">
        <f t="array" ref="Q42">_xlfn.SWITCH(TRUE, AND(data[[#This Row],[hour]]&gt;=6, data[[#This Row],[hour]]&lt;=11), "Morning", AND(data[[#This Row],[hour]]&gt;=12, data[[#This Row],[hour]]&lt;=17), "Afternoon", AND(data[[#This Row],[hour]]&gt;=18, data[[#This Row],[hour]]&lt;=23), "Evening", TRUE, "Night")</f>
        <v>Night</v>
      </c>
      <c r="R42" t="str" cm="1">
        <f t="array" ref="R42">_xlfn.IFS(data[[#This Row],[session_duration_min]]&lt;=15, "Short", data[[#This Row],[session_duration_min]]&lt;=45, "Medium",  TRUE, "Long")</f>
        <v>Medium</v>
      </c>
      <c r="S42">
        <f>IFERROR( ROUND(data[[#This Row],[kills]]/data[[#This Row],[deaths]],2), 0)</f>
        <v>1.62</v>
      </c>
      <c r="T42">
        <f>IFERROR( ROUND(data[[#This Row],[headshots]]/data[[#This Row],[kills]]*100,2),0)</f>
        <v>63.83</v>
      </c>
      <c r="U42">
        <f>ROUND(data[[#This Row],[kills]]/data[[#This Row],[session_duration_min]],2)</f>
        <v>1.25</v>
      </c>
      <c r="V42" t="str" cm="1">
        <f t="array" ref="V42">_xlfn.SWITCH(TRUE,AND(data[[#This Row],[session_kdr]]&gt;=1.8,data[[#This Row],[session_hs_pct]]&gt;=70),"Good",AND(data[[#This Row],[session_kdr]]&gt;=1.2,data[[#This Row],[session_hs_pct]]&gt;=50),"Average",TRUE,"Poor")</f>
        <v>Average</v>
      </c>
      <c r="W42">
        <f>IF(data[[#This Row],[session_quality]]="Poor", 1,0)</f>
        <v>0</v>
      </c>
    </row>
    <row r="43" spans="1:23" x14ac:dyDescent="0.25">
      <c r="A43">
        <v>44</v>
      </c>
      <c r="B43" s="1">
        <v>46019.05259259259</v>
      </c>
      <c r="C43" s="1">
        <v>46019.059282407405</v>
      </c>
      <c r="D43">
        <v>4</v>
      </c>
      <c r="E43">
        <v>8</v>
      </c>
      <c r="F43">
        <v>11</v>
      </c>
      <c r="G43">
        <v>9.6333333333333329</v>
      </c>
      <c r="H43">
        <v>0</v>
      </c>
      <c r="I43">
        <f>YEAR(data[[#This Row],[session_start]])</f>
        <v>2025</v>
      </c>
      <c r="J43">
        <f>MONTH(data[[#This Row],[session_start]])</f>
        <v>12</v>
      </c>
      <c r="K43" t="str">
        <f>TEXT(data[[#This Row],[session_start]], "mmmm")</f>
        <v>December</v>
      </c>
      <c r="L43">
        <f>WEEKNUM(data[[#This Row],[session_start]])</f>
        <v>53</v>
      </c>
      <c r="M43">
        <f>WEEKDAY(data[[#This Row],[session_start]],2)</f>
        <v>7</v>
      </c>
      <c r="N43" t="str">
        <f>TEXT(data[[#This Row],[session_start]],"dddd")</f>
        <v>Sunday</v>
      </c>
      <c r="O43">
        <f>IF(data[[#This Row],[day_of_week]]&gt;5,1,0)</f>
        <v>1</v>
      </c>
      <c r="P43">
        <f>HOUR(data[[#This Row],[session_start]])</f>
        <v>1</v>
      </c>
      <c r="Q43" t="str" cm="1">
        <f t="array" ref="Q43">_xlfn.SWITCH(TRUE, AND(data[[#This Row],[hour]]&gt;=6, data[[#This Row],[hour]]&lt;=11), "Morning", AND(data[[#This Row],[hour]]&gt;=12, data[[#This Row],[hour]]&lt;=17), "Afternoon", AND(data[[#This Row],[hour]]&gt;=18, data[[#This Row],[hour]]&lt;=23), "Evening", TRUE, "Night")</f>
        <v>Night</v>
      </c>
      <c r="R43" t="str" cm="1">
        <f t="array" ref="R43">_xlfn.IFS(data[[#This Row],[session_duration_min]]&lt;=15, "Short", data[[#This Row],[session_duration_min]]&lt;=45, "Medium",  TRUE, "Long")</f>
        <v>Short</v>
      </c>
      <c r="S43">
        <f>IFERROR( ROUND(data[[#This Row],[kills]]/data[[#This Row],[deaths]],2), 0)</f>
        <v>0.73</v>
      </c>
      <c r="T43">
        <f>IFERROR( ROUND(data[[#This Row],[headshots]]/data[[#This Row],[kills]]*100,2),0)</f>
        <v>50</v>
      </c>
      <c r="U43">
        <f>ROUND(data[[#This Row],[kills]]/data[[#This Row],[session_duration_min]],2)</f>
        <v>0.83</v>
      </c>
      <c r="V43" t="str" cm="1">
        <f t="array" ref="V43">_xlfn.SWITCH(TRUE,AND(data[[#This Row],[session_kdr]]&gt;=1.8,data[[#This Row],[session_hs_pct]]&gt;=70),"Good",AND(data[[#This Row],[session_kdr]]&gt;=1.2,data[[#This Row],[session_hs_pct]]&gt;=50),"Average",TRUE,"Poor")</f>
        <v>Poor</v>
      </c>
      <c r="W43">
        <f>IF(data[[#This Row],[session_quality]]="Poor", 1,0)</f>
        <v>1</v>
      </c>
    </row>
    <row r="44" spans="1:23" x14ac:dyDescent="0.25">
      <c r="A44">
        <v>45</v>
      </c>
      <c r="B44" s="1">
        <v>46020.373460648145</v>
      </c>
      <c r="C44" s="1">
        <v>46020.377638888887</v>
      </c>
      <c r="D44">
        <v>4</v>
      </c>
      <c r="E44">
        <v>4</v>
      </c>
      <c r="F44">
        <v>4</v>
      </c>
      <c r="G44">
        <v>6.0166666666666666</v>
      </c>
      <c r="H44">
        <v>0</v>
      </c>
      <c r="I44">
        <f>YEAR(data[[#This Row],[session_start]])</f>
        <v>2025</v>
      </c>
      <c r="J44">
        <f>MONTH(data[[#This Row],[session_start]])</f>
        <v>12</v>
      </c>
      <c r="K44" t="str">
        <f>TEXT(data[[#This Row],[session_start]], "mmmm")</f>
        <v>December</v>
      </c>
      <c r="L44">
        <f>WEEKNUM(data[[#This Row],[session_start]])</f>
        <v>53</v>
      </c>
      <c r="M44">
        <f>WEEKDAY(data[[#This Row],[session_start]],2)</f>
        <v>1</v>
      </c>
      <c r="N44" t="str">
        <f>TEXT(data[[#This Row],[session_start]],"dddd")</f>
        <v>Monday</v>
      </c>
      <c r="O44">
        <f>IF(data[[#This Row],[day_of_week]]&gt;5,1,0)</f>
        <v>0</v>
      </c>
      <c r="P44">
        <f>HOUR(data[[#This Row],[session_start]])</f>
        <v>8</v>
      </c>
      <c r="Q44" t="str" cm="1">
        <f t="array" ref="Q44">_xlfn.SWITCH(TRUE, AND(data[[#This Row],[hour]]&gt;=6, data[[#This Row],[hour]]&lt;=11), "Morning", AND(data[[#This Row],[hour]]&gt;=12, data[[#This Row],[hour]]&lt;=17), "Afternoon", AND(data[[#This Row],[hour]]&gt;=18, data[[#This Row],[hour]]&lt;=23), "Evening", TRUE, "Night")</f>
        <v>Morning</v>
      </c>
      <c r="R44" t="str" cm="1">
        <f t="array" ref="R44">_xlfn.IFS(data[[#This Row],[session_duration_min]]&lt;=15, "Short", data[[#This Row],[session_duration_min]]&lt;=45, "Medium",  TRUE, "Long")</f>
        <v>Short</v>
      </c>
      <c r="S44">
        <f>IFERROR( ROUND(data[[#This Row],[kills]]/data[[#This Row],[deaths]],2), 0)</f>
        <v>1</v>
      </c>
      <c r="T44">
        <f>IFERROR( ROUND(data[[#This Row],[headshots]]/data[[#This Row],[kills]]*100,2),0)</f>
        <v>100</v>
      </c>
      <c r="U44">
        <f>ROUND(data[[#This Row],[kills]]/data[[#This Row],[session_duration_min]],2)</f>
        <v>0.66</v>
      </c>
      <c r="V44" t="str" cm="1">
        <f t="array" ref="V44">_xlfn.SWITCH(TRUE,AND(data[[#This Row],[session_kdr]]&gt;=1.8,data[[#This Row],[session_hs_pct]]&gt;=70),"Good",AND(data[[#This Row],[session_kdr]]&gt;=1.2,data[[#This Row],[session_hs_pct]]&gt;=50),"Average",TRUE,"Poor")</f>
        <v>Poor</v>
      </c>
      <c r="W44">
        <f>IF(data[[#This Row],[session_quality]]="Poor", 1,0)</f>
        <v>1</v>
      </c>
    </row>
    <row r="45" spans="1:23" x14ac:dyDescent="0.25">
      <c r="A45">
        <v>46</v>
      </c>
      <c r="B45" s="1">
        <v>46020.994108796294</v>
      </c>
      <c r="C45" s="1">
        <v>46021.005428240744</v>
      </c>
      <c r="D45">
        <v>14</v>
      </c>
      <c r="E45">
        <v>17</v>
      </c>
      <c r="F45">
        <v>13</v>
      </c>
      <c r="G45">
        <v>16.3</v>
      </c>
      <c r="H45">
        <v>0</v>
      </c>
      <c r="I45">
        <f>YEAR(data[[#This Row],[session_start]])</f>
        <v>2025</v>
      </c>
      <c r="J45">
        <f>MONTH(data[[#This Row],[session_start]])</f>
        <v>12</v>
      </c>
      <c r="K45" t="str">
        <f>TEXT(data[[#This Row],[session_start]], "mmmm")</f>
        <v>December</v>
      </c>
      <c r="L45">
        <f>WEEKNUM(data[[#This Row],[session_start]])</f>
        <v>53</v>
      </c>
      <c r="M45">
        <f>WEEKDAY(data[[#This Row],[session_start]],2)</f>
        <v>1</v>
      </c>
      <c r="N45" t="str">
        <f>TEXT(data[[#This Row],[session_start]],"dddd")</f>
        <v>Monday</v>
      </c>
      <c r="O45">
        <f>IF(data[[#This Row],[day_of_week]]&gt;5,1,0)</f>
        <v>0</v>
      </c>
      <c r="P45">
        <f>HOUR(data[[#This Row],[session_start]])</f>
        <v>23</v>
      </c>
      <c r="Q45" t="str" cm="1">
        <f t="array" ref="Q45">_xlfn.SWITCH(TRUE, AND(data[[#This Row],[hour]]&gt;=6, data[[#This Row],[hour]]&lt;=11), "Morning", AND(data[[#This Row],[hour]]&gt;=12, data[[#This Row],[hour]]&lt;=17), "Afternoon", AND(data[[#This Row],[hour]]&gt;=18, data[[#This Row],[hour]]&lt;=23), "Evening", TRUE, "Night")</f>
        <v>Evening</v>
      </c>
      <c r="R45" t="str" cm="1">
        <f t="array" ref="R45">_xlfn.IFS(data[[#This Row],[session_duration_min]]&lt;=15, "Short", data[[#This Row],[session_duration_min]]&lt;=45, "Medium",  TRUE, "Long")</f>
        <v>Medium</v>
      </c>
      <c r="S45">
        <f>IFERROR( ROUND(data[[#This Row],[kills]]/data[[#This Row],[deaths]],2), 0)</f>
        <v>1.31</v>
      </c>
      <c r="T45">
        <f>IFERROR( ROUND(data[[#This Row],[headshots]]/data[[#This Row],[kills]]*100,2),0)</f>
        <v>82.35</v>
      </c>
      <c r="U45">
        <f>ROUND(data[[#This Row],[kills]]/data[[#This Row],[session_duration_min]],2)</f>
        <v>1.04</v>
      </c>
      <c r="V45" t="str" cm="1">
        <f t="array" ref="V45">_xlfn.SWITCH(TRUE,AND(data[[#This Row],[session_kdr]]&gt;=1.8,data[[#This Row],[session_hs_pct]]&gt;=70),"Good",AND(data[[#This Row],[session_kdr]]&gt;=1.2,data[[#This Row],[session_hs_pct]]&gt;=50),"Average",TRUE,"Poor")</f>
        <v>Average</v>
      </c>
      <c r="W45">
        <f>IF(data[[#This Row],[session_quality]]="Poor", 1,0)</f>
        <v>0</v>
      </c>
    </row>
    <row r="46" spans="1:23" x14ac:dyDescent="0.25">
      <c r="A46">
        <v>47</v>
      </c>
      <c r="B46" s="1">
        <v>46032.033993055556</v>
      </c>
      <c r="C46" s="1">
        <v>46032.035150462965</v>
      </c>
      <c r="D46">
        <v>2</v>
      </c>
      <c r="E46">
        <v>2</v>
      </c>
      <c r="F46">
        <v>1</v>
      </c>
      <c r="G46">
        <v>1.6666666666666667</v>
      </c>
      <c r="H46">
        <v>0</v>
      </c>
      <c r="I46">
        <f>YEAR(data[[#This Row],[session_start]])</f>
        <v>2026</v>
      </c>
      <c r="J46">
        <f>MONTH(data[[#This Row],[session_start]])</f>
        <v>1</v>
      </c>
      <c r="K46" t="str">
        <f>TEXT(data[[#This Row],[session_start]], "mmmm")</f>
        <v>January</v>
      </c>
      <c r="L46">
        <f>WEEKNUM(data[[#This Row],[session_start]])</f>
        <v>2</v>
      </c>
      <c r="M46">
        <f>WEEKDAY(data[[#This Row],[session_start]],2)</f>
        <v>6</v>
      </c>
      <c r="N46" t="str">
        <f>TEXT(data[[#This Row],[session_start]],"dddd")</f>
        <v>Saturday</v>
      </c>
      <c r="O46">
        <f>IF(data[[#This Row],[day_of_week]]&gt;5,1,0)</f>
        <v>1</v>
      </c>
      <c r="P46">
        <f>HOUR(data[[#This Row],[session_start]])</f>
        <v>0</v>
      </c>
      <c r="Q46" t="str" cm="1">
        <f t="array" ref="Q46">_xlfn.SWITCH(TRUE, AND(data[[#This Row],[hour]]&gt;=6, data[[#This Row],[hour]]&lt;=11), "Morning", AND(data[[#This Row],[hour]]&gt;=12, data[[#This Row],[hour]]&lt;=17), "Afternoon", AND(data[[#This Row],[hour]]&gt;=18, data[[#This Row],[hour]]&lt;=23), "Evening", TRUE, "Night")</f>
        <v>Night</v>
      </c>
      <c r="R46" t="str" cm="1">
        <f t="array" ref="R46">_xlfn.IFS(data[[#This Row],[session_duration_min]]&lt;=15, "Short", data[[#This Row],[session_duration_min]]&lt;=45, "Medium",  TRUE, "Long")</f>
        <v>Short</v>
      </c>
      <c r="S46">
        <f>IFERROR( ROUND(data[[#This Row],[kills]]/data[[#This Row],[deaths]],2), 0)</f>
        <v>2</v>
      </c>
      <c r="T46">
        <f>IFERROR( ROUND(data[[#This Row],[headshots]]/data[[#This Row],[kills]]*100,2),0)</f>
        <v>100</v>
      </c>
      <c r="U46">
        <f>ROUND(data[[#This Row],[kills]]/data[[#This Row],[session_duration_min]],2)</f>
        <v>1.2</v>
      </c>
      <c r="V46" t="str" cm="1">
        <f t="array" ref="V46">_xlfn.SWITCH(TRUE,AND(data[[#This Row],[session_kdr]]&gt;=1.8,data[[#This Row],[session_hs_pct]]&gt;=70),"Good",AND(data[[#This Row],[session_kdr]]&gt;=1.2,data[[#This Row],[session_hs_pct]]&gt;=50),"Average",TRUE,"Poor")</f>
        <v>Good</v>
      </c>
      <c r="W46">
        <f>IF(data[[#This Row],[session_quality]]="Poor", 1,0)</f>
        <v>0</v>
      </c>
    </row>
    <row r="47" spans="1:23" x14ac:dyDescent="0.25">
      <c r="A47">
        <v>48</v>
      </c>
      <c r="B47" s="1">
        <v>46032.749409722222</v>
      </c>
      <c r="C47" s="1">
        <v>46032.778379629628</v>
      </c>
      <c r="D47">
        <v>54</v>
      </c>
      <c r="E47">
        <v>71</v>
      </c>
      <c r="F47">
        <v>22</v>
      </c>
      <c r="G47">
        <v>41.716666666666669</v>
      </c>
      <c r="H47">
        <v>0</v>
      </c>
      <c r="I47">
        <f>YEAR(data[[#This Row],[session_start]])</f>
        <v>2026</v>
      </c>
      <c r="J47">
        <f>MONTH(data[[#This Row],[session_start]])</f>
        <v>1</v>
      </c>
      <c r="K47" t="str">
        <f>TEXT(data[[#This Row],[session_start]], "mmmm")</f>
        <v>January</v>
      </c>
      <c r="L47">
        <f>WEEKNUM(data[[#This Row],[session_start]])</f>
        <v>2</v>
      </c>
      <c r="M47">
        <f>WEEKDAY(data[[#This Row],[session_start]],2)</f>
        <v>6</v>
      </c>
      <c r="N47" t="str">
        <f>TEXT(data[[#This Row],[session_start]],"dddd")</f>
        <v>Saturday</v>
      </c>
      <c r="O47">
        <f>IF(data[[#This Row],[day_of_week]]&gt;5,1,0)</f>
        <v>1</v>
      </c>
      <c r="P47">
        <f>HOUR(data[[#This Row],[session_start]])</f>
        <v>17</v>
      </c>
      <c r="Q47" t="str" cm="1">
        <f t="array" ref="Q47">_xlfn.SWITCH(TRUE, AND(data[[#This Row],[hour]]&gt;=6, data[[#This Row],[hour]]&lt;=11), "Morning", AND(data[[#This Row],[hour]]&gt;=12, data[[#This Row],[hour]]&lt;=17), "Afternoon", AND(data[[#This Row],[hour]]&gt;=18, data[[#This Row],[hour]]&lt;=23), "Evening", TRUE, "Night")</f>
        <v>Afternoon</v>
      </c>
      <c r="R47" t="str" cm="1">
        <f t="array" ref="R47">_xlfn.IFS(data[[#This Row],[session_duration_min]]&lt;=15, "Short", data[[#This Row],[session_duration_min]]&lt;=45, "Medium",  TRUE, "Long")</f>
        <v>Medium</v>
      </c>
      <c r="S47">
        <f>IFERROR( ROUND(data[[#This Row],[kills]]/data[[#This Row],[deaths]],2), 0)</f>
        <v>3.23</v>
      </c>
      <c r="T47">
        <f>IFERROR( ROUND(data[[#This Row],[headshots]]/data[[#This Row],[kills]]*100,2),0)</f>
        <v>76.06</v>
      </c>
      <c r="U47">
        <f>ROUND(data[[#This Row],[kills]]/data[[#This Row],[session_duration_min]],2)</f>
        <v>1.7</v>
      </c>
      <c r="V47" t="str" cm="1">
        <f t="array" ref="V47">_xlfn.SWITCH(TRUE,AND(data[[#This Row],[session_kdr]]&gt;=1.8,data[[#This Row],[session_hs_pct]]&gt;=70),"Good",AND(data[[#This Row],[session_kdr]]&gt;=1.2,data[[#This Row],[session_hs_pct]]&gt;=50),"Average",TRUE,"Poor")</f>
        <v>Good</v>
      </c>
      <c r="W47">
        <f>IF(data[[#This Row],[session_quality]]="Poor", 1,0)</f>
        <v>0</v>
      </c>
    </row>
    <row r="48" spans="1:23" x14ac:dyDescent="0.25">
      <c r="A48">
        <v>49</v>
      </c>
      <c r="B48" s="1">
        <v>46032.786585648151</v>
      </c>
      <c r="C48" s="1">
        <v>46032.805787037039</v>
      </c>
      <c r="D48">
        <v>27</v>
      </c>
      <c r="E48">
        <v>34</v>
      </c>
      <c r="F48">
        <v>21</v>
      </c>
      <c r="G48">
        <v>27.65</v>
      </c>
      <c r="H48">
        <v>0</v>
      </c>
      <c r="I48">
        <f>YEAR(data[[#This Row],[session_start]])</f>
        <v>2026</v>
      </c>
      <c r="J48">
        <f>MONTH(data[[#This Row],[session_start]])</f>
        <v>1</v>
      </c>
      <c r="K48" t="str">
        <f>TEXT(data[[#This Row],[session_start]], "mmmm")</f>
        <v>January</v>
      </c>
      <c r="L48">
        <f>WEEKNUM(data[[#This Row],[session_start]])</f>
        <v>2</v>
      </c>
      <c r="M48">
        <f>WEEKDAY(data[[#This Row],[session_start]],2)</f>
        <v>6</v>
      </c>
      <c r="N48" t="str">
        <f>TEXT(data[[#This Row],[session_start]],"dddd")</f>
        <v>Saturday</v>
      </c>
      <c r="O48">
        <f>IF(data[[#This Row],[day_of_week]]&gt;5,1,0)</f>
        <v>1</v>
      </c>
      <c r="P48">
        <f>HOUR(data[[#This Row],[session_start]])</f>
        <v>18</v>
      </c>
      <c r="Q48" t="str" cm="1">
        <f t="array" ref="Q48">_xlfn.SWITCH(TRUE, AND(data[[#This Row],[hour]]&gt;=6, data[[#This Row],[hour]]&lt;=11), "Morning", AND(data[[#This Row],[hour]]&gt;=12, data[[#This Row],[hour]]&lt;=17), "Afternoon", AND(data[[#This Row],[hour]]&gt;=18, data[[#This Row],[hour]]&lt;=23), "Evening", TRUE, "Night")</f>
        <v>Evening</v>
      </c>
      <c r="R48" t="str" cm="1">
        <f t="array" ref="R48">_xlfn.IFS(data[[#This Row],[session_duration_min]]&lt;=15, "Short", data[[#This Row],[session_duration_min]]&lt;=45, "Medium",  TRUE, "Long")</f>
        <v>Medium</v>
      </c>
      <c r="S48">
        <f>IFERROR( ROUND(data[[#This Row],[kills]]/data[[#This Row],[deaths]],2), 0)</f>
        <v>1.62</v>
      </c>
      <c r="T48">
        <f>IFERROR( ROUND(data[[#This Row],[headshots]]/data[[#This Row],[kills]]*100,2),0)</f>
        <v>79.41</v>
      </c>
      <c r="U48">
        <f>ROUND(data[[#This Row],[kills]]/data[[#This Row],[session_duration_min]],2)</f>
        <v>1.23</v>
      </c>
      <c r="V48" t="str" cm="1">
        <f t="array" ref="V48">_xlfn.SWITCH(TRUE,AND(data[[#This Row],[session_kdr]]&gt;=1.8,data[[#This Row],[session_hs_pct]]&gt;=70),"Good",AND(data[[#This Row],[session_kdr]]&gt;=1.2,data[[#This Row],[session_hs_pct]]&gt;=50),"Average",TRUE,"Poor")</f>
        <v>Average</v>
      </c>
      <c r="W48">
        <f>IF(data[[#This Row],[session_quality]]="Poor", 1,0)</f>
        <v>0</v>
      </c>
    </row>
    <row r="49" spans="1:23" x14ac:dyDescent="0.25">
      <c r="A49">
        <v>50</v>
      </c>
      <c r="B49" s="1">
        <v>46047.935104166667</v>
      </c>
      <c r="C49" s="1">
        <v>46047.937511574077</v>
      </c>
      <c r="D49">
        <v>8</v>
      </c>
      <c r="E49">
        <v>9</v>
      </c>
      <c r="F49">
        <v>4</v>
      </c>
      <c r="G49">
        <v>3.4666666666666668</v>
      </c>
      <c r="H49">
        <v>0</v>
      </c>
      <c r="I49">
        <f>YEAR(data[[#This Row],[session_start]])</f>
        <v>2026</v>
      </c>
      <c r="J49">
        <f>MONTH(data[[#This Row],[session_start]])</f>
        <v>1</v>
      </c>
      <c r="K49" t="str">
        <f>TEXT(data[[#This Row],[session_start]], "mmmm")</f>
        <v>January</v>
      </c>
      <c r="L49">
        <f>WEEKNUM(data[[#This Row],[session_start]])</f>
        <v>5</v>
      </c>
      <c r="M49">
        <f>WEEKDAY(data[[#This Row],[session_start]],2)</f>
        <v>7</v>
      </c>
      <c r="N49" t="str">
        <f>TEXT(data[[#This Row],[session_start]],"dddd")</f>
        <v>Sunday</v>
      </c>
      <c r="O49">
        <f>IF(data[[#This Row],[day_of_week]]&gt;5,1,0)</f>
        <v>1</v>
      </c>
      <c r="P49">
        <f>HOUR(data[[#This Row],[session_start]])</f>
        <v>22</v>
      </c>
      <c r="Q49" t="str" cm="1">
        <f t="array" ref="Q49">_xlfn.SWITCH(TRUE, AND(data[[#This Row],[hour]]&gt;=6, data[[#This Row],[hour]]&lt;=11), "Morning", AND(data[[#This Row],[hour]]&gt;=12, data[[#This Row],[hour]]&lt;=17), "Afternoon", AND(data[[#This Row],[hour]]&gt;=18, data[[#This Row],[hour]]&lt;=23), "Evening", TRUE, "Night")</f>
        <v>Evening</v>
      </c>
      <c r="R49" t="str" cm="1">
        <f t="array" ref="R49">_xlfn.IFS(data[[#This Row],[session_duration_min]]&lt;=15, "Short", data[[#This Row],[session_duration_min]]&lt;=45, "Medium",  TRUE, "Long")</f>
        <v>Short</v>
      </c>
      <c r="S49">
        <f>IFERROR( ROUND(data[[#This Row],[kills]]/data[[#This Row],[deaths]],2), 0)</f>
        <v>2.25</v>
      </c>
      <c r="T49">
        <f>IFERROR( ROUND(data[[#This Row],[headshots]]/data[[#This Row],[kills]]*100,2),0)</f>
        <v>88.89</v>
      </c>
      <c r="U49">
        <f>ROUND(data[[#This Row],[kills]]/data[[#This Row],[session_duration_min]],2)</f>
        <v>2.6</v>
      </c>
      <c r="V49" t="str" cm="1">
        <f t="array" ref="V49">_xlfn.SWITCH(TRUE,AND(data[[#This Row],[session_kdr]]&gt;=1.8,data[[#This Row],[session_hs_pct]]&gt;=70),"Good",AND(data[[#This Row],[session_kdr]]&gt;=1.2,data[[#This Row],[session_hs_pct]]&gt;=50),"Average",TRUE,"Poor")</f>
        <v>Good</v>
      </c>
      <c r="W49">
        <f>IF(data[[#This Row],[session_quality]]="Poor", 1,0)</f>
        <v>0</v>
      </c>
    </row>
    <row r="50" spans="1:23" x14ac:dyDescent="0.25">
      <c r="A50">
        <v>51</v>
      </c>
      <c r="B50" s="1">
        <v>46049.969768518517</v>
      </c>
      <c r="C50" s="1">
        <v>46049.978020833332</v>
      </c>
      <c r="D50">
        <v>7</v>
      </c>
      <c r="E50">
        <v>11</v>
      </c>
      <c r="F50">
        <v>3</v>
      </c>
      <c r="G50">
        <v>11.783333333333333</v>
      </c>
      <c r="H50">
        <v>0.1</v>
      </c>
      <c r="I50">
        <f>YEAR(data[[#This Row],[session_start]])</f>
        <v>2026</v>
      </c>
      <c r="J50">
        <f>MONTH(data[[#This Row],[session_start]])</f>
        <v>1</v>
      </c>
      <c r="K50" t="str">
        <f>TEXT(data[[#This Row],[session_start]], "mmmm")</f>
        <v>January</v>
      </c>
      <c r="L50">
        <f>WEEKNUM(data[[#This Row],[session_start]])</f>
        <v>5</v>
      </c>
      <c r="M50">
        <f>WEEKDAY(data[[#This Row],[session_start]],2)</f>
        <v>2</v>
      </c>
      <c r="N50" t="str">
        <f>TEXT(data[[#This Row],[session_start]],"dddd")</f>
        <v>Tuesday</v>
      </c>
      <c r="O50">
        <f>IF(data[[#This Row],[day_of_week]]&gt;5,1,0)</f>
        <v>0</v>
      </c>
      <c r="P50">
        <f>HOUR(data[[#This Row],[session_start]])</f>
        <v>23</v>
      </c>
      <c r="Q50" t="str" cm="1">
        <f t="array" ref="Q50">_xlfn.SWITCH(TRUE, AND(data[[#This Row],[hour]]&gt;=6, data[[#This Row],[hour]]&lt;=11), "Morning", AND(data[[#This Row],[hour]]&gt;=12, data[[#This Row],[hour]]&lt;=17), "Afternoon", AND(data[[#This Row],[hour]]&gt;=18, data[[#This Row],[hour]]&lt;=23), "Evening", TRUE, "Night")</f>
        <v>Evening</v>
      </c>
      <c r="R50" t="str" cm="1">
        <f t="array" ref="R50">_xlfn.IFS(data[[#This Row],[session_duration_min]]&lt;=15, "Short", data[[#This Row],[session_duration_min]]&lt;=45, "Medium",  TRUE, "Long")</f>
        <v>Short</v>
      </c>
      <c r="S50">
        <f>IFERROR( ROUND(data[[#This Row],[kills]]/data[[#This Row],[deaths]],2), 0)</f>
        <v>3.67</v>
      </c>
      <c r="T50">
        <f>IFERROR( ROUND(data[[#This Row],[headshots]]/data[[#This Row],[kills]]*100,2),0)</f>
        <v>63.64</v>
      </c>
      <c r="U50">
        <f>ROUND(data[[#This Row],[kills]]/data[[#This Row],[session_duration_min]],2)</f>
        <v>0.93</v>
      </c>
      <c r="V50" t="str" cm="1">
        <f t="array" ref="V50">_xlfn.SWITCH(TRUE,AND(data[[#This Row],[session_kdr]]&gt;=1.8,data[[#This Row],[session_hs_pct]]&gt;=70),"Good",AND(data[[#This Row],[session_kdr]]&gt;=1.2,data[[#This Row],[session_hs_pct]]&gt;=50),"Average",TRUE,"Poor")</f>
        <v>Average</v>
      </c>
      <c r="W50">
        <f>IF(data[[#This Row],[session_quality]]="Poor", 1,0)</f>
        <v>0</v>
      </c>
    </row>
    <row r="51" spans="1:23" x14ac:dyDescent="0.25">
      <c r="A51">
        <v>52</v>
      </c>
      <c r="B51" s="1">
        <v>46052.00886574074</v>
      </c>
      <c r="C51" s="1">
        <v>46052.013472222221</v>
      </c>
      <c r="D51">
        <v>4</v>
      </c>
      <c r="E51">
        <v>5</v>
      </c>
      <c r="F51">
        <v>6</v>
      </c>
      <c r="G51">
        <v>6.6333333333333337</v>
      </c>
      <c r="H51">
        <v>0</v>
      </c>
      <c r="I51">
        <f>YEAR(data[[#This Row],[session_start]])</f>
        <v>2026</v>
      </c>
      <c r="J51">
        <f>MONTH(data[[#This Row],[session_start]])</f>
        <v>1</v>
      </c>
      <c r="K51" t="str">
        <f>TEXT(data[[#This Row],[session_start]], "mmmm")</f>
        <v>January</v>
      </c>
      <c r="L51">
        <f>WEEKNUM(data[[#This Row],[session_start]])</f>
        <v>5</v>
      </c>
      <c r="M51">
        <f>WEEKDAY(data[[#This Row],[session_start]],2)</f>
        <v>5</v>
      </c>
      <c r="N51" t="str">
        <f>TEXT(data[[#This Row],[session_start]],"dddd")</f>
        <v>Friday</v>
      </c>
      <c r="O51">
        <f>IF(data[[#This Row],[day_of_week]]&gt;5,1,0)</f>
        <v>0</v>
      </c>
      <c r="P51">
        <f>HOUR(data[[#This Row],[session_start]])</f>
        <v>0</v>
      </c>
      <c r="Q51" t="str" cm="1">
        <f t="array" ref="Q51">_xlfn.SWITCH(TRUE, AND(data[[#This Row],[hour]]&gt;=6, data[[#This Row],[hour]]&lt;=11), "Morning", AND(data[[#This Row],[hour]]&gt;=12, data[[#This Row],[hour]]&lt;=17), "Afternoon", AND(data[[#This Row],[hour]]&gt;=18, data[[#This Row],[hour]]&lt;=23), "Evening", TRUE, "Night")</f>
        <v>Night</v>
      </c>
      <c r="R51" t="str" cm="1">
        <f t="array" ref="R51">_xlfn.IFS(data[[#This Row],[session_duration_min]]&lt;=15, "Short", data[[#This Row],[session_duration_min]]&lt;=45, "Medium",  TRUE, "Long")</f>
        <v>Short</v>
      </c>
      <c r="S51">
        <f>IFERROR( ROUND(data[[#This Row],[kills]]/data[[#This Row],[deaths]],2), 0)</f>
        <v>0.83</v>
      </c>
      <c r="T51">
        <f>IFERROR( ROUND(data[[#This Row],[headshots]]/data[[#This Row],[kills]]*100,2),0)</f>
        <v>80</v>
      </c>
      <c r="U51">
        <f>ROUND(data[[#This Row],[kills]]/data[[#This Row],[session_duration_min]],2)</f>
        <v>0.75</v>
      </c>
      <c r="V51" t="str" cm="1">
        <f t="array" ref="V51">_xlfn.SWITCH(TRUE,AND(data[[#This Row],[session_kdr]]&gt;=1.8,data[[#This Row],[session_hs_pct]]&gt;=70),"Good",AND(data[[#This Row],[session_kdr]]&gt;=1.2,data[[#This Row],[session_hs_pct]]&gt;=50),"Average",TRUE,"Poor")</f>
        <v>Poor</v>
      </c>
      <c r="W51">
        <f>IF(data[[#This Row],[session_quality]]="Poor", 1,0)</f>
        <v>1</v>
      </c>
    </row>
    <row r="52" spans="1:23" x14ac:dyDescent="0.25">
      <c r="A52">
        <v>53</v>
      </c>
      <c r="B52" s="1">
        <v>46079.736388888887</v>
      </c>
      <c r="C52" s="1">
        <v>46079.752754629626</v>
      </c>
      <c r="D52">
        <v>24</v>
      </c>
      <c r="E52">
        <v>28</v>
      </c>
      <c r="F52">
        <v>13</v>
      </c>
      <c r="G52">
        <v>23.433333333333334</v>
      </c>
      <c r="H52">
        <v>0.13333333333333333</v>
      </c>
      <c r="I52">
        <f>YEAR(data[[#This Row],[session_start]])</f>
        <v>2026</v>
      </c>
      <c r="J52">
        <f>MONTH(data[[#This Row],[session_start]])</f>
        <v>2</v>
      </c>
      <c r="K52" t="str">
        <f>TEXT(data[[#This Row],[session_start]], "mmmm")</f>
        <v>February</v>
      </c>
      <c r="L52">
        <f>WEEKNUM(data[[#This Row],[session_start]])</f>
        <v>9</v>
      </c>
      <c r="M52">
        <f>WEEKDAY(data[[#This Row],[session_start]],2)</f>
        <v>4</v>
      </c>
      <c r="N52" t="str">
        <f>TEXT(data[[#This Row],[session_start]],"dddd")</f>
        <v>Thursday</v>
      </c>
      <c r="O52">
        <f>IF(data[[#This Row],[day_of_week]]&gt;5,1,0)</f>
        <v>0</v>
      </c>
      <c r="P52">
        <f>HOUR(data[[#This Row],[session_start]])</f>
        <v>17</v>
      </c>
      <c r="Q52" t="str" cm="1">
        <f t="array" ref="Q52">_xlfn.SWITCH(TRUE, AND(data[[#This Row],[hour]]&gt;=6, data[[#This Row],[hour]]&lt;=11), "Morning", AND(data[[#This Row],[hour]]&gt;=12, data[[#This Row],[hour]]&lt;=17), "Afternoon", AND(data[[#This Row],[hour]]&gt;=18, data[[#This Row],[hour]]&lt;=23), "Evening", TRUE, "Night")</f>
        <v>Afternoon</v>
      </c>
      <c r="R52" t="str" cm="1">
        <f t="array" ref="R52">_xlfn.IFS(data[[#This Row],[session_duration_min]]&lt;=15, "Short", data[[#This Row],[session_duration_min]]&lt;=45, "Medium",  TRUE, "Long")</f>
        <v>Medium</v>
      </c>
      <c r="S52">
        <f>IFERROR( ROUND(data[[#This Row],[kills]]/data[[#This Row],[deaths]],2), 0)</f>
        <v>2.15</v>
      </c>
      <c r="T52">
        <f>IFERROR( ROUND(data[[#This Row],[headshots]]/data[[#This Row],[kills]]*100,2),0)</f>
        <v>85.71</v>
      </c>
      <c r="U52">
        <f>ROUND(data[[#This Row],[kills]]/data[[#This Row],[session_duration_min]],2)</f>
        <v>1.19</v>
      </c>
      <c r="V52" t="str" cm="1">
        <f t="array" ref="V52">_xlfn.SWITCH(TRUE,AND(data[[#This Row],[session_kdr]]&gt;=1.8,data[[#This Row],[session_hs_pct]]&gt;=70),"Good",AND(data[[#This Row],[session_kdr]]&gt;=1.2,data[[#This Row],[session_hs_pct]]&gt;=50),"Average",TRUE,"Poor")</f>
        <v>Good</v>
      </c>
      <c r="W52">
        <f>IF(data[[#This Row],[session_quality]]="Poor", 1,0)</f>
        <v>0</v>
      </c>
    </row>
    <row r="53" spans="1:23" x14ac:dyDescent="0.25">
      <c r="A53">
        <v>54</v>
      </c>
      <c r="B53" s="1">
        <v>46079.756898148145</v>
      </c>
      <c r="C53" s="1">
        <v>46079.760810185187</v>
      </c>
      <c r="D53">
        <v>6</v>
      </c>
      <c r="E53">
        <v>7</v>
      </c>
      <c r="F53">
        <v>4</v>
      </c>
      <c r="G53">
        <v>5.6333333333333337</v>
      </c>
      <c r="H53">
        <v>0</v>
      </c>
      <c r="I53">
        <f>YEAR(data[[#This Row],[session_start]])</f>
        <v>2026</v>
      </c>
      <c r="J53">
        <f>MONTH(data[[#This Row],[session_start]])</f>
        <v>2</v>
      </c>
      <c r="K53" t="str">
        <f>TEXT(data[[#This Row],[session_start]], "mmmm")</f>
        <v>February</v>
      </c>
      <c r="L53">
        <f>WEEKNUM(data[[#This Row],[session_start]])</f>
        <v>9</v>
      </c>
      <c r="M53">
        <f>WEEKDAY(data[[#This Row],[session_start]],2)</f>
        <v>4</v>
      </c>
      <c r="N53" t="str">
        <f>TEXT(data[[#This Row],[session_start]],"dddd")</f>
        <v>Thursday</v>
      </c>
      <c r="O53">
        <f>IF(data[[#This Row],[day_of_week]]&gt;5,1,0)</f>
        <v>0</v>
      </c>
      <c r="P53">
        <f>HOUR(data[[#This Row],[session_start]])</f>
        <v>18</v>
      </c>
      <c r="Q53" t="str" cm="1">
        <f t="array" ref="Q53">_xlfn.SWITCH(TRUE, AND(data[[#This Row],[hour]]&gt;=6, data[[#This Row],[hour]]&lt;=11), "Morning", AND(data[[#This Row],[hour]]&gt;=12, data[[#This Row],[hour]]&lt;=17), "Afternoon", AND(data[[#This Row],[hour]]&gt;=18, data[[#This Row],[hour]]&lt;=23), "Evening", TRUE, "Night")</f>
        <v>Evening</v>
      </c>
      <c r="R53" t="str" cm="1">
        <f t="array" ref="R53">_xlfn.IFS(data[[#This Row],[session_duration_min]]&lt;=15, "Short", data[[#This Row],[session_duration_min]]&lt;=45, "Medium",  TRUE, "Long")</f>
        <v>Short</v>
      </c>
      <c r="S53">
        <f>IFERROR( ROUND(data[[#This Row],[kills]]/data[[#This Row],[deaths]],2), 0)</f>
        <v>1.75</v>
      </c>
      <c r="T53">
        <f>IFERROR( ROUND(data[[#This Row],[headshots]]/data[[#This Row],[kills]]*100,2),0)</f>
        <v>85.71</v>
      </c>
      <c r="U53">
        <f>ROUND(data[[#This Row],[kills]]/data[[#This Row],[session_duration_min]],2)</f>
        <v>1.24</v>
      </c>
      <c r="V53" t="str" cm="1">
        <f t="array" ref="V53">_xlfn.SWITCH(TRUE,AND(data[[#This Row],[session_kdr]]&gt;=1.8,data[[#This Row],[session_hs_pct]]&gt;=70),"Good",AND(data[[#This Row],[session_kdr]]&gt;=1.2,data[[#This Row],[session_hs_pct]]&gt;=50),"Average",TRUE,"Poor")</f>
        <v>Average</v>
      </c>
      <c r="W53">
        <f>IF(data[[#This Row],[session_quality]]="Poor", 1,0)</f>
        <v>0</v>
      </c>
    </row>
    <row r="54" spans="1:23" x14ac:dyDescent="0.25">
      <c r="A54">
        <v>55</v>
      </c>
      <c r="B54" s="1">
        <v>46079.903680555559</v>
      </c>
      <c r="C54" s="1">
        <v>46079.905266203707</v>
      </c>
      <c r="D54">
        <v>0</v>
      </c>
      <c r="E54">
        <v>0</v>
      </c>
      <c r="F54">
        <v>1</v>
      </c>
      <c r="G54">
        <v>2.2833333333333332</v>
      </c>
      <c r="H54">
        <v>0</v>
      </c>
      <c r="I54">
        <f>YEAR(data[[#This Row],[session_start]])</f>
        <v>2026</v>
      </c>
      <c r="J54">
        <f>MONTH(data[[#This Row],[session_start]])</f>
        <v>2</v>
      </c>
      <c r="K54" t="str">
        <f>TEXT(data[[#This Row],[session_start]], "mmmm")</f>
        <v>February</v>
      </c>
      <c r="L54">
        <f>WEEKNUM(data[[#This Row],[session_start]])</f>
        <v>9</v>
      </c>
      <c r="M54">
        <f>WEEKDAY(data[[#This Row],[session_start]],2)</f>
        <v>4</v>
      </c>
      <c r="N54" t="str">
        <f>TEXT(data[[#This Row],[session_start]],"dddd")</f>
        <v>Thursday</v>
      </c>
      <c r="O54">
        <f>IF(data[[#This Row],[day_of_week]]&gt;5,1,0)</f>
        <v>0</v>
      </c>
      <c r="P54">
        <f>HOUR(data[[#This Row],[session_start]])</f>
        <v>21</v>
      </c>
      <c r="Q54" t="str" cm="1">
        <f t="array" ref="Q54">_xlfn.SWITCH(TRUE, AND(data[[#This Row],[hour]]&gt;=6, data[[#This Row],[hour]]&lt;=11), "Morning", AND(data[[#This Row],[hour]]&gt;=12, data[[#This Row],[hour]]&lt;=17), "Afternoon", AND(data[[#This Row],[hour]]&gt;=18, data[[#This Row],[hour]]&lt;=23), "Evening", TRUE, "Night")</f>
        <v>Evening</v>
      </c>
      <c r="R54" t="str" cm="1">
        <f t="array" ref="R54">_xlfn.IFS(data[[#This Row],[session_duration_min]]&lt;=15, "Short", data[[#This Row],[session_duration_min]]&lt;=45, "Medium",  TRUE, "Long")</f>
        <v>Short</v>
      </c>
      <c r="S54">
        <f>IFERROR( ROUND(data[[#This Row],[kills]]/data[[#This Row],[deaths]],2), 0)</f>
        <v>0</v>
      </c>
      <c r="T54">
        <f>IFERROR( ROUND(data[[#This Row],[headshots]]/data[[#This Row],[kills]]*100,2),0)</f>
        <v>0</v>
      </c>
      <c r="U54">
        <f>ROUND(data[[#This Row],[kills]]/data[[#This Row],[session_duration_min]],2)</f>
        <v>0</v>
      </c>
      <c r="V54" t="str" cm="1">
        <f t="array" ref="V54">_xlfn.SWITCH(TRUE,AND(data[[#This Row],[session_kdr]]&gt;=1.8,data[[#This Row],[session_hs_pct]]&gt;=70),"Good",AND(data[[#This Row],[session_kdr]]&gt;=1.2,data[[#This Row],[session_hs_pct]]&gt;=50),"Average",TRUE,"Poor")</f>
        <v>Poor</v>
      </c>
      <c r="W54">
        <f>IF(data[[#This Row],[session_quality]]="Poor", 1,0)</f>
        <v>1</v>
      </c>
    </row>
    <row r="55" spans="1:23" x14ac:dyDescent="0.25">
      <c r="A55">
        <v>56</v>
      </c>
      <c r="B55" s="1">
        <v>46080.80673611111</v>
      </c>
      <c r="C55" s="1">
        <v>46080.816388888888</v>
      </c>
      <c r="D55">
        <v>13</v>
      </c>
      <c r="E55">
        <v>16</v>
      </c>
      <c r="F55">
        <v>10</v>
      </c>
      <c r="G55">
        <v>13.9</v>
      </c>
      <c r="H55">
        <v>0</v>
      </c>
      <c r="I55">
        <f>YEAR(data[[#This Row],[session_start]])</f>
        <v>2026</v>
      </c>
      <c r="J55">
        <f>MONTH(data[[#This Row],[session_start]])</f>
        <v>2</v>
      </c>
      <c r="K55" t="str">
        <f>TEXT(data[[#This Row],[session_start]], "mmmm")</f>
        <v>February</v>
      </c>
      <c r="L55">
        <f>WEEKNUM(data[[#This Row],[session_start]])</f>
        <v>9</v>
      </c>
      <c r="M55">
        <f>WEEKDAY(data[[#This Row],[session_start]],2)</f>
        <v>5</v>
      </c>
      <c r="N55" t="str">
        <f>TEXT(data[[#This Row],[session_start]],"dddd")</f>
        <v>Friday</v>
      </c>
      <c r="O55">
        <f>IF(data[[#This Row],[day_of_week]]&gt;5,1,0)</f>
        <v>0</v>
      </c>
      <c r="P55">
        <f>HOUR(data[[#This Row],[session_start]])</f>
        <v>19</v>
      </c>
      <c r="Q55" t="str" cm="1">
        <f t="array" ref="Q55">_xlfn.SWITCH(TRUE, AND(data[[#This Row],[hour]]&gt;=6, data[[#This Row],[hour]]&lt;=11), "Morning", AND(data[[#This Row],[hour]]&gt;=12, data[[#This Row],[hour]]&lt;=17), "Afternoon", AND(data[[#This Row],[hour]]&gt;=18, data[[#This Row],[hour]]&lt;=23), "Evening", TRUE, "Night")</f>
        <v>Evening</v>
      </c>
      <c r="R55" t="str" cm="1">
        <f t="array" ref="R55">_xlfn.IFS(data[[#This Row],[session_duration_min]]&lt;=15, "Short", data[[#This Row],[session_duration_min]]&lt;=45, "Medium",  TRUE, "Long")</f>
        <v>Short</v>
      </c>
      <c r="S55">
        <f>IFERROR( ROUND(data[[#This Row],[kills]]/data[[#This Row],[deaths]],2), 0)</f>
        <v>1.6</v>
      </c>
      <c r="T55">
        <f>IFERROR( ROUND(data[[#This Row],[headshots]]/data[[#This Row],[kills]]*100,2),0)</f>
        <v>81.25</v>
      </c>
      <c r="U55">
        <f>ROUND(data[[#This Row],[kills]]/data[[#This Row],[session_duration_min]],2)</f>
        <v>1.1499999999999999</v>
      </c>
      <c r="V55" t="str" cm="1">
        <f t="array" ref="V55">_xlfn.SWITCH(TRUE,AND(data[[#This Row],[session_kdr]]&gt;=1.8,data[[#This Row],[session_hs_pct]]&gt;=70),"Good",AND(data[[#This Row],[session_kdr]]&gt;=1.2,data[[#This Row],[session_hs_pct]]&gt;=50),"Average",TRUE,"Poor")</f>
        <v>Average</v>
      </c>
      <c r="W55">
        <f>IF(data[[#This Row],[session_quality]]="Poor", 1,0)</f>
        <v>0</v>
      </c>
    </row>
    <row r="56" spans="1:23" x14ac:dyDescent="0.25">
      <c r="A56">
        <v>57</v>
      </c>
      <c r="B56" s="1">
        <v>46081.958240740743</v>
      </c>
      <c r="C56" s="1">
        <v>46081.984212962961</v>
      </c>
      <c r="D56">
        <v>35</v>
      </c>
      <c r="E56">
        <v>44</v>
      </c>
      <c r="F56">
        <v>22</v>
      </c>
      <c r="G56">
        <v>37.283333333333331</v>
      </c>
      <c r="H56">
        <v>0.11666666666666667</v>
      </c>
      <c r="I56">
        <f>YEAR(data[[#This Row],[session_start]])</f>
        <v>2026</v>
      </c>
      <c r="J56">
        <f>MONTH(data[[#This Row],[session_start]])</f>
        <v>2</v>
      </c>
      <c r="K56" t="str">
        <f>TEXT(data[[#This Row],[session_start]], "mmmm")</f>
        <v>February</v>
      </c>
      <c r="L56">
        <f>WEEKNUM(data[[#This Row],[session_start]])</f>
        <v>9</v>
      </c>
      <c r="M56">
        <f>WEEKDAY(data[[#This Row],[session_start]],2)</f>
        <v>6</v>
      </c>
      <c r="N56" t="str">
        <f>TEXT(data[[#This Row],[session_start]],"dddd")</f>
        <v>Saturday</v>
      </c>
      <c r="O56">
        <f>IF(data[[#This Row],[day_of_week]]&gt;5,1,0)</f>
        <v>1</v>
      </c>
      <c r="P56">
        <f>HOUR(data[[#This Row],[session_start]])</f>
        <v>22</v>
      </c>
      <c r="Q56" t="str" cm="1">
        <f t="array" ref="Q56">_xlfn.SWITCH(TRUE, AND(data[[#This Row],[hour]]&gt;=6, data[[#This Row],[hour]]&lt;=11), "Morning", AND(data[[#This Row],[hour]]&gt;=12, data[[#This Row],[hour]]&lt;=17), "Afternoon", AND(data[[#This Row],[hour]]&gt;=18, data[[#This Row],[hour]]&lt;=23), "Evening", TRUE, "Night")</f>
        <v>Evening</v>
      </c>
      <c r="R56" t="str" cm="1">
        <f t="array" ref="R56">_xlfn.IFS(data[[#This Row],[session_duration_min]]&lt;=15, "Short", data[[#This Row],[session_duration_min]]&lt;=45, "Medium",  TRUE, "Long")</f>
        <v>Medium</v>
      </c>
      <c r="S56">
        <f>IFERROR( ROUND(data[[#This Row],[kills]]/data[[#This Row],[deaths]],2), 0)</f>
        <v>2</v>
      </c>
      <c r="T56">
        <f>IFERROR( ROUND(data[[#This Row],[headshots]]/data[[#This Row],[kills]]*100,2),0)</f>
        <v>79.55</v>
      </c>
      <c r="U56">
        <f>ROUND(data[[#This Row],[kills]]/data[[#This Row],[session_duration_min]],2)</f>
        <v>1.18</v>
      </c>
      <c r="V56" t="str" cm="1">
        <f t="array" ref="V56">_xlfn.SWITCH(TRUE,AND(data[[#This Row],[session_kdr]]&gt;=1.8,data[[#This Row],[session_hs_pct]]&gt;=70),"Good",AND(data[[#This Row],[session_kdr]]&gt;=1.2,data[[#This Row],[session_hs_pct]]&gt;=50),"Average",TRUE,"Poor")</f>
        <v>Good</v>
      </c>
      <c r="W56">
        <f>IF(data[[#This Row],[session_quality]]="Poor", 1,0)</f>
        <v>0</v>
      </c>
    </row>
    <row r="57" spans="1:23" x14ac:dyDescent="0.25">
      <c r="A57">
        <v>58</v>
      </c>
      <c r="B57" s="1">
        <v>46082.944247685184</v>
      </c>
      <c r="C57" s="1">
        <v>46082.954930555556</v>
      </c>
      <c r="D57">
        <v>14</v>
      </c>
      <c r="E57">
        <v>16</v>
      </c>
      <c r="F57">
        <v>13</v>
      </c>
      <c r="G57">
        <v>15.2</v>
      </c>
      <c r="H57">
        <v>0.18333333333333332</v>
      </c>
      <c r="I57">
        <f>YEAR(data[[#This Row],[session_start]])</f>
        <v>2026</v>
      </c>
      <c r="J57">
        <f>MONTH(data[[#This Row],[session_start]])</f>
        <v>3</v>
      </c>
      <c r="K57" t="str">
        <f>TEXT(data[[#This Row],[session_start]], "mmmm")</f>
        <v>March</v>
      </c>
      <c r="L57">
        <f>WEEKNUM(data[[#This Row],[session_start]])</f>
        <v>10</v>
      </c>
      <c r="M57">
        <f>WEEKDAY(data[[#This Row],[session_start]],2)</f>
        <v>7</v>
      </c>
      <c r="N57" t="str">
        <f>TEXT(data[[#This Row],[session_start]],"dddd")</f>
        <v>Sunday</v>
      </c>
      <c r="O57">
        <f>IF(data[[#This Row],[day_of_week]]&gt;5,1,0)</f>
        <v>1</v>
      </c>
      <c r="P57">
        <f>HOUR(data[[#This Row],[session_start]])</f>
        <v>22</v>
      </c>
      <c r="Q57" t="str" cm="1">
        <f t="array" ref="Q57">_xlfn.SWITCH(TRUE, AND(data[[#This Row],[hour]]&gt;=6, data[[#This Row],[hour]]&lt;=11), "Morning", AND(data[[#This Row],[hour]]&gt;=12, data[[#This Row],[hour]]&lt;=17), "Afternoon", AND(data[[#This Row],[hour]]&gt;=18, data[[#This Row],[hour]]&lt;=23), "Evening", TRUE, "Night")</f>
        <v>Evening</v>
      </c>
      <c r="R57" t="str" cm="1">
        <f t="array" ref="R57">_xlfn.IFS(data[[#This Row],[session_duration_min]]&lt;=15, "Short", data[[#This Row],[session_duration_min]]&lt;=45, "Medium",  TRUE, "Long")</f>
        <v>Medium</v>
      </c>
      <c r="S57">
        <f>IFERROR( ROUND(data[[#This Row],[kills]]/data[[#This Row],[deaths]],2), 0)</f>
        <v>1.23</v>
      </c>
      <c r="T57">
        <f>IFERROR( ROUND(data[[#This Row],[headshots]]/data[[#This Row],[kills]]*100,2),0)</f>
        <v>87.5</v>
      </c>
      <c r="U57">
        <f>ROUND(data[[#This Row],[kills]]/data[[#This Row],[session_duration_min]],2)</f>
        <v>1.05</v>
      </c>
      <c r="V57" t="str" cm="1">
        <f t="array" ref="V57">_xlfn.SWITCH(TRUE,AND(data[[#This Row],[session_kdr]]&gt;=1.8,data[[#This Row],[session_hs_pct]]&gt;=70),"Good",AND(data[[#This Row],[session_kdr]]&gt;=1.2,data[[#This Row],[session_hs_pct]]&gt;=50),"Average",TRUE,"Poor")</f>
        <v>Average</v>
      </c>
      <c r="W57">
        <f>IF(data[[#This Row],[session_quality]]="Poor", 1,0)</f>
        <v>0</v>
      </c>
    </row>
    <row r="58" spans="1:23" x14ac:dyDescent="0.25">
      <c r="A58">
        <v>59</v>
      </c>
      <c r="B58" s="1">
        <v>46082.957800925928</v>
      </c>
      <c r="C58" s="1">
        <v>46082.969456018516</v>
      </c>
      <c r="D58">
        <v>9</v>
      </c>
      <c r="E58">
        <v>10</v>
      </c>
      <c r="F58">
        <v>9</v>
      </c>
      <c r="G58">
        <v>14.133333333333333</v>
      </c>
      <c r="H58">
        <v>2.65</v>
      </c>
      <c r="I58">
        <f>YEAR(data[[#This Row],[session_start]])</f>
        <v>2026</v>
      </c>
      <c r="J58">
        <f>MONTH(data[[#This Row],[session_start]])</f>
        <v>3</v>
      </c>
      <c r="K58" t="str">
        <f>TEXT(data[[#This Row],[session_start]], "mmmm")</f>
        <v>March</v>
      </c>
      <c r="L58">
        <f>WEEKNUM(data[[#This Row],[session_start]])</f>
        <v>10</v>
      </c>
      <c r="M58">
        <f>WEEKDAY(data[[#This Row],[session_start]],2)</f>
        <v>7</v>
      </c>
      <c r="N58" t="str">
        <f>TEXT(data[[#This Row],[session_start]],"dddd")</f>
        <v>Sunday</v>
      </c>
      <c r="O58">
        <f>IF(data[[#This Row],[day_of_week]]&gt;5,1,0)</f>
        <v>1</v>
      </c>
      <c r="P58">
        <f>HOUR(data[[#This Row],[session_start]])</f>
        <v>22</v>
      </c>
      <c r="Q58" t="str" cm="1">
        <f t="array" ref="Q58">_xlfn.SWITCH(TRUE, AND(data[[#This Row],[hour]]&gt;=6, data[[#This Row],[hour]]&lt;=11), "Morning", AND(data[[#This Row],[hour]]&gt;=12, data[[#This Row],[hour]]&lt;=17), "Afternoon", AND(data[[#This Row],[hour]]&gt;=18, data[[#This Row],[hour]]&lt;=23), "Evening", TRUE, "Night")</f>
        <v>Evening</v>
      </c>
      <c r="R58" t="str" cm="1">
        <f t="array" ref="R58">_xlfn.IFS(data[[#This Row],[session_duration_min]]&lt;=15, "Short", data[[#This Row],[session_duration_min]]&lt;=45, "Medium",  TRUE, "Long")</f>
        <v>Short</v>
      </c>
      <c r="S58">
        <f>IFERROR( ROUND(data[[#This Row],[kills]]/data[[#This Row],[deaths]],2), 0)</f>
        <v>1.1100000000000001</v>
      </c>
      <c r="T58">
        <f>IFERROR( ROUND(data[[#This Row],[headshots]]/data[[#This Row],[kills]]*100,2),0)</f>
        <v>90</v>
      </c>
      <c r="U58">
        <f>ROUND(data[[#This Row],[kills]]/data[[#This Row],[session_duration_min]],2)</f>
        <v>0.71</v>
      </c>
      <c r="V58" t="str" cm="1">
        <f t="array" ref="V58">_xlfn.SWITCH(TRUE,AND(data[[#This Row],[session_kdr]]&gt;=1.8,data[[#This Row],[session_hs_pct]]&gt;=70),"Good",AND(data[[#This Row],[session_kdr]]&gt;=1.2,data[[#This Row],[session_hs_pct]]&gt;=50),"Average",TRUE,"Poor")</f>
        <v>Poor</v>
      </c>
      <c r="W58">
        <f>IF(data[[#This Row],[session_quality]]="Poor", 1,0)</f>
        <v>1</v>
      </c>
    </row>
    <row r="59" spans="1:23" x14ac:dyDescent="0.25">
      <c r="A59">
        <v>60</v>
      </c>
      <c r="B59" s="1">
        <v>46086.840254629627</v>
      </c>
      <c r="C59" s="1">
        <v>46086.872534722221</v>
      </c>
      <c r="D59">
        <v>38</v>
      </c>
      <c r="E59">
        <v>46</v>
      </c>
      <c r="F59">
        <v>39</v>
      </c>
      <c r="G59">
        <v>46.3</v>
      </c>
      <c r="H59">
        <v>0.18333333333333332</v>
      </c>
      <c r="I59">
        <f>YEAR(data[[#This Row],[session_start]])</f>
        <v>2026</v>
      </c>
      <c r="J59">
        <f>MONTH(data[[#This Row],[session_start]])</f>
        <v>3</v>
      </c>
      <c r="K59" t="str">
        <f>TEXT(data[[#This Row],[session_start]], "mmmm")</f>
        <v>March</v>
      </c>
      <c r="L59">
        <f>WEEKNUM(data[[#This Row],[session_start]])</f>
        <v>10</v>
      </c>
      <c r="M59">
        <f>WEEKDAY(data[[#This Row],[session_start]],2)</f>
        <v>4</v>
      </c>
      <c r="N59" t="str">
        <f>TEXT(data[[#This Row],[session_start]],"dddd")</f>
        <v>Thursday</v>
      </c>
      <c r="O59">
        <f>IF(data[[#This Row],[day_of_week]]&gt;5,1,0)</f>
        <v>0</v>
      </c>
      <c r="P59">
        <f>HOUR(data[[#This Row],[session_start]])</f>
        <v>20</v>
      </c>
      <c r="Q59" t="str" cm="1">
        <f t="array" ref="Q59">_xlfn.SWITCH(TRUE, AND(data[[#This Row],[hour]]&gt;=6, data[[#This Row],[hour]]&lt;=11), "Morning", AND(data[[#This Row],[hour]]&gt;=12, data[[#This Row],[hour]]&lt;=17), "Afternoon", AND(data[[#This Row],[hour]]&gt;=18, data[[#This Row],[hour]]&lt;=23), "Evening", TRUE, "Night")</f>
        <v>Evening</v>
      </c>
      <c r="R59" t="str" cm="1">
        <f t="array" ref="R59">_xlfn.IFS(data[[#This Row],[session_duration_min]]&lt;=15, "Short", data[[#This Row],[session_duration_min]]&lt;=45, "Medium",  TRUE, "Long")</f>
        <v>Long</v>
      </c>
      <c r="S59">
        <f>IFERROR( ROUND(data[[#This Row],[kills]]/data[[#This Row],[deaths]],2), 0)</f>
        <v>1.18</v>
      </c>
      <c r="T59">
        <f>IFERROR( ROUND(data[[#This Row],[headshots]]/data[[#This Row],[kills]]*100,2),0)</f>
        <v>82.61</v>
      </c>
      <c r="U59">
        <f>ROUND(data[[#This Row],[kills]]/data[[#This Row],[session_duration_min]],2)</f>
        <v>0.99</v>
      </c>
      <c r="V59" t="str" cm="1">
        <f t="array" ref="V59">_xlfn.SWITCH(TRUE,AND(data[[#This Row],[session_kdr]]&gt;=1.8,data[[#This Row],[session_hs_pct]]&gt;=70),"Good",AND(data[[#This Row],[session_kdr]]&gt;=1.2,data[[#This Row],[session_hs_pct]]&gt;=50),"Average",TRUE,"Poor")</f>
        <v>Poor</v>
      </c>
      <c r="W59">
        <f>IF(data[[#This Row],[session_quality]]="Poor", 1,0)</f>
        <v>1</v>
      </c>
    </row>
    <row r="60" spans="1:23" x14ac:dyDescent="0.25">
      <c r="A60">
        <v>61</v>
      </c>
      <c r="B60" s="1">
        <v>46087.730138888888</v>
      </c>
      <c r="C60" s="1">
        <v>46087.788877314815</v>
      </c>
      <c r="D60">
        <v>85</v>
      </c>
      <c r="E60">
        <v>123</v>
      </c>
      <c r="F60">
        <v>77</v>
      </c>
      <c r="G60">
        <v>84.45</v>
      </c>
      <c r="H60">
        <v>0.13333333333333333</v>
      </c>
      <c r="I60">
        <f>YEAR(data[[#This Row],[session_start]])</f>
        <v>2026</v>
      </c>
      <c r="J60">
        <f>MONTH(data[[#This Row],[session_start]])</f>
        <v>3</v>
      </c>
      <c r="K60" t="str">
        <f>TEXT(data[[#This Row],[session_start]], "mmmm")</f>
        <v>March</v>
      </c>
      <c r="L60">
        <f>WEEKNUM(data[[#This Row],[session_start]])</f>
        <v>10</v>
      </c>
      <c r="M60">
        <f>WEEKDAY(data[[#This Row],[session_start]],2)</f>
        <v>5</v>
      </c>
      <c r="N60" t="str">
        <f>TEXT(data[[#This Row],[session_start]],"dddd")</f>
        <v>Friday</v>
      </c>
      <c r="O60">
        <f>IF(data[[#This Row],[day_of_week]]&gt;5,1,0)</f>
        <v>0</v>
      </c>
      <c r="P60">
        <f>HOUR(data[[#This Row],[session_start]])</f>
        <v>17</v>
      </c>
      <c r="Q60" t="str" cm="1">
        <f t="array" ref="Q60">_xlfn.SWITCH(TRUE, AND(data[[#This Row],[hour]]&gt;=6, data[[#This Row],[hour]]&lt;=11), "Morning", AND(data[[#This Row],[hour]]&gt;=12, data[[#This Row],[hour]]&lt;=17), "Afternoon", AND(data[[#This Row],[hour]]&gt;=18, data[[#This Row],[hour]]&lt;=23), "Evening", TRUE, "Night")</f>
        <v>Afternoon</v>
      </c>
      <c r="R60" t="str" cm="1">
        <f t="array" ref="R60">_xlfn.IFS(data[[#This Row],[session_duration_min]]&lt;=15, "Short", data[[#This Row],[session_duration_min]]&lt;=45, "Medium",  TRUE, "Long")</f>
        <v>Long</v>
      </c>
      <c r="S60">
        <f>IFERROR( ROUND(data[[#This Row],[kills]]/data[[#This Row],[deaths]],2), 0)</f>
        <v>1.6</v>
      </c>
      <c r="T60">
        <f>IFERROR( ROUND(data[[#This Row],[headshots]]/data[[#This Row],[kills]]*100,2),0)</f>
        <v>69.11</v>
      </c>
      <c r="U60">
        <f>ROUND(data[[#This Row],[kills]]/data[[#This Row],[session_duration_min]],2)</f>
        <v>1.46</v>
      </c>
      <c r="V60" t="str" cm="1">
        <f t="array" ref="V60">_xlfn.SWITCH(TRUE,AND(data[[#This Row],[session_kdr]]&gt;=1.8,data[[#This Row],[session_hs_pct]]&gt;=70),"Good",AND(data[[#This Row],[session_kdr]]&gt;=1.2,data[[#This Row],[session_hs_pct]]&gt;=50),"Average",TRUE,"Poor")</f>
        <v>Average</v>
      </c>
      <c r="W60">
        <f>IF(data[[#This Row],[session_quality]]="Poor", 1,0)</f>
        <v>0</v>
      </c>
    </row>
    <row r="61" spans="1:23" x14ac:dyDescent="0.25">
      <c r="A61">
        <v>62</v>
      </c>
      <c r="B61" s="1">
        <v>46087.807673611111</v>
      </c>
      <c r="C61" s="1">
        <v>46087.849976851852</v>
      </c>
      <c r="D61">
        <v>53</v>
      </c>
      <c r="E61">
        <v>68</v>
      </c>
      <c r="F61">
        <v>49</v>
      </c>
      <c r="G61">
        <v>57.533333333333331</v>
      </c>
      <c r="H61">
        <v>3.3833333333333333</v>
      </c>
      <c r="I61">
        <f>YEAR(data[[#This Row],[session_start]])</f>
        <v>2026</v>
      </c>
      <c r="J61">
        <f>MONTH(data[[#This Row],[session_start]])</f>
        <v>3</v>
      </c>
      <c r="K61" t="str">
        <f>TEXT(data[[#This Row],[session_start]], "mmmm")</f>
        <v>March</v>
      </c>
      <c r="L61">
        <f>WEEKNUM(data[[#This Row],[session_start]])</f>
        <v>10</v>
      </c>
      <c r="M61">
        <f>WEEKDAY(data[[#This Row],[session_start]],2)</f>
        <v>5</v>
      </c>
      <c r="N61" t="str">
        <f>TEXT(data[[#This Row],[session_start]],"dddd")</f>
        <v>Friday</v>
      </c>
      <c r="O61">
        <f>IF(data[[#This Row],[day_of_week]]&gt;5,1,0)</f>
        <v>0</v>
      </c>
      <c r="P61">
        <f>HOUR(data[[#This Row],[session_start]])</f>
        <v>19</v>
      </c>
      <c r="Q61" t="str" cm="1">
        <f t="array" ref="Q61">_xlfn.SWITCH(TRUE, AND(data[[#This Row],[hour]]&gt;=6, data[[#This Row],[hour]]&lt;=11), "Morning", AND(data[[#This Row],[hour]]&gt;=12, data[[#This Row],[hour]]&lt;=17), "Afternoon", AND(data[[#This Row],[hour]]&gt;=18, data[[#This Row],[hour]]&lt;=23), "Evening", TRUE, "Night")</f>
        <v>Evening</v>
      </c>
      <c r="R61" t="str" cm="1">
        <f t="array" ref="R61">_xlfn.IFS(data[[#This Row],[session_duration_min]]&lt;=15, "Short", data[[#This Row],[session_duration_min]]&lt;=45, "Medium",  TRUE, "Long")</f>
        <v>Long</v>
      </c>
      <c r="S61">
        <f>IFERROR( ROUND(data[[#This Row],[kills]]/data[[#This Row],[deaths]],2), 0)</f>
        <v>1.39</v>
      </c>
      <c r="T61">
        <f>IFERROR( ROUND(data[[#This Row],[headshots]]/data[[#This Row],[kills]]*100,2),0)</f>
        <v>77.94</v>
      </c>
      <c r="U61">
        <f>ROUND(data[[#This Row],[kills]]/data[[#This Row],[session_duration_min]],2)</f>
        <v>1.18</v>
      </c>
      <c r="V61" t="str" cm="1">
        <f t="array" ref="V61">_xlfn.SWITCH(TRUE,AND(data[[#This Row],[session_kdr]]&gt;=1.8,data[[#This Row],[session_hs_pct]]&gt;=70),"Good",AND(data[[#This Row],[session_kdr]]&gt;=1.2,data[[#This Row],[session_hs_pct]]&gt;=50),"Average",TRUE,"Poor")</f>
        <v>Average</v>
      </c>
      <c r="W61">
        <f>IF(data[[#This Row],[session_quality]]="Poor", 1,0)</f>
        <v>0</v>
      </c>
    </row>
    <row r="62" spans="1:23" x14ac:dyDescent="0.25">
      <c r="A62">
        <v>63</v>
      </c>
      <c r="B62" s="1">
        <v>46087.94226851852</v>
      </c>
      <c r="C62" s="1">
        <v>46087.9609375</v>
      </c>
      <c r="D62">
        <v>20</v>
      </c>
      <c r="E62">
        <v>25</v>
      </c>
      <c r="F62">
        <v>23</v>
      </c>
      <c r="G62">
        <v>26.883333333333333</v>
      </c>
      <c r="H62">
        <v>0</v>
      </c>
      <c r="I62">
        <f>YEAR(data[[#This Row],[session_start]])</f>
        <v>2026</v>
      </c>
      <c r="J62">
        <f>MONTH(data[[#This Row],[session_start]])</f>
        <v>3</v>
      </c>
      <c r="K62" t="str">
        <f>TEXT(data[[#This Row],[session_start]], "mmmm")</f>
        <v>March</v>
      </c>
      <c r="L62">
        <f>WEEKNUM(data[[#This Row],[session_start]])</f>
        <v>10</v>
      </c>
      <c r="M62">
        <f>WEEKDAY(data[[#This Row],[session_start]],2)</f>
        <v>5</v>
      </c>
      <c r="N62" t="str">
        <f>TEXT(data[[#This Row],[session_start]],"dddd")</f>
        <v>Friday</v>
      </c>
      <c r="O62">
        <f>IF(data[[#This Row],[day_of_week]]&gt;5,1,0)</f>
        <v>0</v>
      </c>
      <c r="P62">
        <f>HOUR(data[[#This Row],[session_start]])</f>
        <v>22</v>
      </c>
      <c r="Q62" t="str" cm="1">
        <f t="array" ref="Q62">_xlfn.SWITCH(TRUE, AND(data[[#This Row],[hour]]&gt;=6, data[[#This Row],[hour]]&lt;=11), "Morning", AND(data[[#This Row],[hour]]&gt;=12, data[[#This Row],[hour]]&lt;=17), "Afternoon", AND(data[[#This Row],[hour]]&gt;=18, data[[#This Row],[hour]]&lt;=23), "Evening", TRUE, "Night")</f>
        <v>Evening</v>
      </c>
      <c r="R62" t="str" cm="1">
        <f t="array" ref="R62">_xlfn.IFS(data[[#This Row],[session_duration_min]]&lt;=15, "Short", data[[#This Row],[session_duration_min]]&lt;=45, "Medium",  TRUE, "Long")</f>
        <v>Medium</v>
      </c>
      <c r="S62">
        <f>IFERROR( ROUND(data[[#This Row],[kills]]/data[[#This Row],[deaths]],2), 0)</f>
        <v>1.0900000000000001</v>
      </c>
      <c r="T62">
        <f>IFERROR( ROUND(data[[#This Row],[headshots]]/data[[#This Row],[kills]]*100,2),0)</f>
        <v>80</v>
      </c>
      <c r="U62">
        <f>ROUND(data[[#This Row],[kills]]/data[[#This Row],[session_duration_min]],2)</f>
        <v>0.93</v>
      </c>
      <c r="V62" t="str" cm="1">
        <f t="array" ref="V62">_xlfn.SWITCH(TRUE,AND(data[[#This Row],[session_kdr]]&gt;=1.8,data[[#This Row],[session_hs_pct]]&gt;=70),"Good",AND(data[[#This Row],[session_kdr]]&gt;=1.2,data[[#This Row],[session_hs_pct]]&gt;=50),"Average",TRUE,"Poor")</f>
        <v>Poor</v>
      </c>
      <c r="W62">
        <f>IF(data[[#This Row],[session_quality]]="Poor", 1,0)</f>
        <v>1</v>
      </c>
    </row>
    <row r="63" spans="1:23" x14ac:dyDescent="0.25">
      <c r="A63">
        <v>64</v>
      </c>
      <c r="B63" s="1">
        <v>46087.967627314814</v>
      </c>
      <c r="C63" s="1">
        <v>46087.991747685184</v>
      </c>
      <c r="D63">
        <v>43</v>
      </c>
      <c r="E63">
        <v>56</v>
      </c>
      <c r="F63">
        <v>23</v>
      </c>
      <c r="G63">
        <v>34.599999999999994</v>
      </c>
      <c r="H63">
        <v>0.13333333333333333</v>
      </c>
      <c r="I63">
        <f>YEAR(data[[#This Row],[session_start]])</f>
        <v>2026</v>
      </c>
      <c r="J63">
        <f>MONTH(data[[#This Row],[session_start]])</f>
        <v>3</v>
      </c>
      <c r="K63" t="str">
        <f>TEXT(data[[#This Row],[session_start]], "mmmm")</f>
        <v>March</v>
      </c>
      <c r="L63">
        <f>WEEKNUM(data[[#This Row],[session_start]])</f>
        <v>10</v>
      </c>
      <c r="M63">
        <f>WEEKDAY(data[[#This Row],[session_start]],2)</f>
        <v>5</v>
      </c>
      <c r="N63" t="str">
        <f>TEXT(data[[#This Row],[session_start]],"dddd")</f>
        <v>Friday</v>
      </c>
      <c r="O63">
        <f>IF(data[[#This Row],[day_of_week]]&gt;5,1,0)</f>
        <v>0</v>
      </c>
      <c r="P63">
        <f>HOUR(data[[#This Row],[session_start]])</f>
        <v>23</v>
      </c>
      <c r="Q63" t="str" cm="1">
        <f t="array" ref="Q63">_xlfn.SWITCH(TRUE, AND(data[[#This Row],[hour]]&gt;=6, data[[#This Row],[hour]]&lt;=11), "Morning", AND(data[[#This Row],[hour]]&gt;=12, data[[#This Row],[hour]]&lt;=17), "Afternoon", AND(data[[#This Row],[hour]]&gt;=18, data[[#This Row],[hour]]&lt;=23), "Evening", TRUE, "Night")</f>
        <v>Evening</v>
      </c>
      <c r="R63" t="str" cm="1">
        <f t="array" ref="R63">_xlfn.IFS(data[[#This Row],[session_duration_min]]&lt;=15, "Short", data[[#This Row],[session_duration_min]]&lt;=45, "Medium",  TRUE, "Long")</f>
        <v>Medium</v>
      </c>
      <c r="S63">
        <f>IFERROR( ROUND(data[[#This Row],[kills]]/data[[#This Row],[deaths]],2), 0)</f>
        <v>2.4300000000000002</v>
      </c>
      <c r="T63">
        <f>IFERROR( ROUND(data[[#This Row],[headshots]]/data[[#This Row],[kills]]*100,2),0)</f>
        <v>76.790000000000006</v>
      </c>
      <c r="U63">
        <f>ROUND(data[[#This Row],[kills]]/data[[#This Row],[session_duration_min]],2)</f>
        <v>1.62</v>
      </c>
      <c r="V63" t="str" cm="1">
        <f t="array" ref="V63">_xlfn.SWITCH(TRUE,AND(data[[#This Row],[session_kdr]]&gt;=1.8,data[[#This Row],[session_hs_pct]]&gt;=70),"Good",AND(data[[#This Row],[session_kdr]]&gt;=1.2,data[[#This Row],[session_hs_pct]]&gt;=50),"Average",TRUE,"Poor")</f>
        <v>Good</v>
      </c>
      <c r="W63">
        <f>IF(data[[#This Row],[session_quality]]="Poor", 1,0)</f>
        <v>0</v>
      </c>
    </row>
    <row r="64" spans="1:23" x14ac:dyDescent="0.25">
      <c r="A64">
        <v>65</v>
      </c>
      <c r="B64" s="1">
        <v>46088.6871875</v>
      </c>
      <c r="C64" s="1">
        <v>46088.688715277778</v>
      </c>
      <c r="D64">
        <v>0</v>
      </c>
      <c r="E64">
        <v>0</v>
      </c>
      <c r="F64">
        <v>1</v>
      </c>
      <c r="G64">
        <v>2.2000000000000002</v>
      </c>
      <c r="H64">
        <v>0</v>
      </c>
      <c r="I64">
        <f>YEAR(data[[#This Row],[session_start]])</f>
        <v>2026</v>
      </c>
      <c r="J64">
        <f>MONTH(data[[#This Row],[session_start]])</f>
        <v>3</v>
      </c>
      <c r="K64" t="str">
        <f>TEXT(data[[#This Row],[session_start]], "mmmm")</f>
        <v>March</v>
      </c>
      <c r="L64">
        <f>WEEKNUM(data[[#This Row],[session_start]])</f>
        <v>10</v>
      </c>
      <c r="M64">
        <f>WEEKDAY(data[[#This Row],[session_start]],2)</f>
        <v>6</v>
      </c>
      <c r="N64" t="str">
        <f>TEXT(data[[#This Row],[session_start]],"dddd")</f>
        <v>Saturday</v>
      </c>
      <c r="O64">
        <f>IF(data[[#This Row],[day_of_week]]&gt;5,1,0)</f>
        <v>1</v>
      </c>
      <c r="P64">
        <f>HOUR(data[[#This Row],[session_start]])</f>
        <v>16</v>
      </c>
      <c r="Q64" t="str" cm="1">
        <f t="array" ref="Q64">_xlfn.SWITCH(TRUE, AND(data[[#This Row],[hour]]&gt;=6, data[[#This Row],[hour]]&lt;=11), "Morning", AND(data[[#This Row],[hour]]&gt;=12, data[[#This Row],[hour]]&lt;=17), "Afternoon", AND(data[[#This Row],[hour]]&gt;=18, data[[#This Row],[hour]]&lt;=23), "Evening", TRUE, "Night")</f>
        <v>Afternoon</v>
      </c>
      <c r="R64" t="str" cm="1">
        <f t="array" ref="R64">_xlfn.IFS(data[[#This Row],[session_duration_min]]&lt;=15, "Short", data[[#This Row],[session_duration_min]]&lt;=45, "Medium",  TRUE, "Long")</f>
        <v>Short</v>
      </c>
      <c r="S64">
        <f>IFERROR( ROUND(data[[#This Row],[kills]]/data[[#This Row],[deaths]],2), 0)</f>
        <v>0</v>
      </c>
      <c r="T64">
        <f>IFERROR( ROUND(data[[#This Row],[headshots]]/data[[#This Row],[kills]]*100,2),0)</f>
        <v>0</v>
      </c>
      <c r="U64">
        <f>ROUND(data[[#This Row],[kills]]/data[[#This Row],[session_duration_min]],2)</f>
        <v>0</v>
      </c>
      <c r="V64" t="str" cm="1">
        <f t="array" ref="V64">_xlfn.SWITCH(TRUE,AND(data[[#This Row],[session_kdr]]&gt;=1.8,data[[#This Row],[session_hs_pct]]&gt;=70),"Good",AND(data[[#This Row],[session_kdr]]&gt;=1.2,data[[#This Row],[session_hs_pct]]&gt;=50),"Average",TRUE,"Poor")</f>
        <v>Poor</v>
      </c>
      <c r="W64">
        <f>IF(data[[#This Row],[session_quality]]="Poor", 1,0)</f>
        <v>1</v>
      </c>
    </row>
    <row r="65" spans="1:23" x14ac:dyDescent="0.25">
      <c r="A65">
        <v>66</v>
      </c>
      <c r="B65" s="1">
        <v>46088.770902777775</v>
      </c>
      <c r="C65" s="1">
        <v>46088.772164351853</v>
      </c>
      <c r="D65">
        <v>0</v>
      </c>
      <c r="E65">
        <v>0</v>
      </c>
      <c r="F65">
        <v>2</v>
      </c>
      <c r="G65">
        <v>1.8166666666666667</v>
      </c>
      <c r="H65">
        <v>0</v>
      </c>
      <c r="I65">
        <f>YEAR(data[[#This Row],[session_start]])</f>
        <v>2026</v>
      </c>
      <c r="J65">
        <f>MONTH(data[[#This Row],[session_start]])</f>
        <v>3</v>
      </c>
      <c r="K65" t="str">
        <f>TEXT(data[[#This Row],[session_start]], "mmmm")</f>
        <v>March</v>
      </c>
      <c r="L65">
        <f>WEEKNUM(data[[#This Row],[session_start]])</f>
        <v>10</v>
      </c>
      <c r="M65">
        <f>WEEKDAY(data[[#This Row],[session_start]],2)</f>
        <v>6</v>
      </c>
      <c r="N65" t="str">
        <f>TEXT(data[[#This Row],[session_start]],"dddd")</f>
        <v>Saturday</v>
      </c>
      <c r="O65">
        <f>IF(data[[#This Row],[day_of_week]]&gt;5,1,0)</f>
        <v>1</v>
      </c>
      <c r="P65">
        <f>HOUR(data[[#This Row],[session_start]])</f>
        <v>18</v>
      </c>
      <c r="Q65" t="str" cm="1">
        <f t="array" ref="Q65">_xlfn.SWITCH(TRUE, AND(data[[#This Row],[hour]]&gt;=6, data[[#This Row],[hour]]&lt;=11), "Morning", AND(data[[#This Row],[hour]]&gt;=12, data[[#This Row],[hour]]&lt;=17), "Afternoon", AND(data[[#This Row],[hour]]&gt;=18, data[[#This Row],[hour]]&lt;=23), "Evening", TRUE, "Night")</f>
        <v>Evening</v>
      </c>
      <c r="R65" t="str" cm="1">
        <f t="array" ref="R65">_xlfn.IFS(data[[#This Row],[session_duration_min]]&lt;=15, "Short", data[[#This Row],[session_duration_min]]&lt;=45, "Medium",  TRUE, "Long")</f>
        <v>Short</v>
      </c>
      <c r="S65">
        <f>IFERROR( ROUND(data[[#This Row],[kills]]/data[[#This Row],[deaths]],2), 0)</f>
        <v>0</v>
      </c>
      <c r="T65">
        <f>IFERROR( ROUND(data[[#This Row],[headshots]]/data[[#This Row],[kills]]*100,2),0)</f>
        <v>0</v>
      </c>
      <c r="U65">
        <f>ROUND(data[[#This Row],[kills]]/data[[#This Row],[session_duration_min]],2)</f>
        <v>0</v>
      </c>
      <c r="V65" t="str" cm="1">
        <f t="array" ref="V65">_xlfn.SWITCH(TRUE,AND(data[[#This Row],[session_kdr]]&gt;=1.8,data[[#This Row],[session_hs_pct]]&gt;=70),"Good",AND(data[[#This Row],[session_kdr]]&gt;=1.2,data[[#This Row],[session_hs_pct]]&gt;=50),"Average",TRUE,"Poor")</f>
        <v>Poor</v>
      </c>
      <c r="W65">
        <f>IF(data[[#This Row],[session_quality]]="Poor", 1,0)</f>
        <v>1</v>
      </c>
    </row>
    <row r="66" spans="1:23" x14ac:dyDescent="0.25">
      <c r="A66">
        <v>67</v>
      </c>
      <c r="B66" s="1">
        <v>46095.950162037036</v>
      </c>
      <c r="C66" s="1">
        <v>46095.971967592595</v>
      </c>
      <c r="D66">
        <v>29</v>
      </c>
      <c r="E66">
        <v>36</v>
      </c>
      <c r="F66">
        <v>21</v>
      </c>
      <c r="G66">
        <v>31.233333333333334</v>
      </c>
      <c r="H66">
        <v>0.16666666666666666</v>
      </c>
      <c r="I66">
        <f>YEAR(data[[#This Row],[session_start]])</f>
        <v>2026</v>
      </c>
      <c r="J66">
        <f>MONTH(data[[#This Row],[session_start]])</f>
        <v>3</v>
      </c>
      <c r="K66" t="str">
        <f>TEXT(data[[#This Row],[session_start]], "mmmm")</f>
        <v>March</v>
      </c>
      <c r="L66">
        <f>WEEKNUM(data[[#This Row],[session_start]])</f>
        <v>11</v>
      </c>
      <c r="M66">
        <f>WEEKDAY(data[[#This Row],[session_start]],2)</f>
        <v>6</v>
      </c>
      <c r="N66" t="str">
        <f>TEXT(data[[#This Row],[session_start]],"dddd")</f>
        <v>Saturday</v>
      </c>
      <c r="O66">
        <f>IF(data[[#This Row],[day_of_week]]&gt;5,1,0)</f>
        <v>1</v>
      </c>
      <c r="P66">
        <f>HOUR(data[[#This Row],[session_start]])</f>
        <v>22</v>
      </c>
      <c r="Q66" t="str" cm="1">
        <f t="array" ref="Q66">_xlfn.SWITCH(TRUE, AND(data[[#This Row],[hour]]&gt;=6, data[[#This Row],[hour]]&lt;=11), "Morning", AND(data[[#This Row],[hour]]&gt;=12, data[[#This Row],[hour]]&lt;=17), "Afternoon", AND(data[[#This Row],[hour]]&gt;=18, data[[#This Row],[hour]]&lt;=23), "Evening", TRUE, "Night")</f>
        <v>Evening</v>
      </c>
      <c r="R66" t="str" cm="1">
        <f t="array" ref="R66">_xlfn.IFS(data[[#This Row],[session_duration_min]]&lt;=15, "Short", data[[#This Row],[session_duration_min]]&lt;=45, "Medium",  TRUE, "Long")</f>
        <v>Medium</v>
      </c>
      <c r="S66">
        <f>IFERROR( ROUND(data[[#This Row],[kills]]/data[[#This Row],[deaths]],2), 0)</f>
        <v>1.71</v>
      </c>
      <c r="T66">
        <f>IFERROR( ROUND(data[[#This Row],[headshots]]/data[[#This Row],[kills]]*100,2),0)</f>
        <v>80.56</v>
      </c>
      <c r="U66">
        <f>ROUND(data[[#This Row],[kills]]/data[[#This Row],[session_duration_min]],2)</f>
        <v>1.1499999999999999</v>
      </c>
      <c r="V66" t="str" cm="1">
        <f t="array" ref="V66">_xlfn.SWITCH(TRUE,AND(data[[#This Row],[session_kdr]]&gt;=1.8,data[[#This Row],[session_hs_pct]]&gt;=70),"Good",AND(data[[#This Row],[session_kdr]]&gt;=1.2,data[[#This Row],[session_hs_pct]]&gt;=50),"Average",TRUE,"Poor")</f>
        <v>Average</v>
      </c>
      <c r="W66">
        <f>IF(data[[#This Row],[session_quality]]="Poor", 1,0)</f>
        <v>0</v>
      </c>
    </row>
    <row r="67" spans="1:23" x14ac:dyDescent="0.25">
      <c r="A67">
        <v>68</v>
      </c>
      <c r="B67" s="1">
        <v>46102.974456018521</v>
      </c>
      <c r="C67" s="1">
        <v>46102.992835648147</v>
      </c>
      <c r="D67">
        <v>21</v>
      </c>
      <c r="E67">
        <v>22</v>
      </c>
      <c r="F67">
        <v>30</v>
      </c>
      <c r="G67">
        <v>26.283333333333331</v>
      </c>
      <c r="H67">
        <v>0.18333333333333332</v>
      </c>
      <c r="I67">
        <f>YEAR(data[[#This Row],[session_start]])</f>
        <v>2026</v>
      </c>
      <c r="J67">
        <f>MONTH(data[[#This Row],[session_start]])</f>
        <v>3</v>
      </c>
      <c r="K67" t="str">
        <f>TEXT(data[[#This Row],[session_start]], "mmmm")</f>
        <v>March</v>
      </c>
      <c r="L67">
        <f>WEEKNUM(data[[#This Row],[session_start]])</f>
        <v>12</v>
      </c>
      <c r="M67">
        <f>WEEKDAY(data[[#This Row],[session_start]],2)</f>
        <v>6</v>
      </c>
      <c r="N67" t="str">
        <f>TEXT(data[[#This Row],[session_start]],"dddd")</f>
        <v>Saturday</v>
      </c>
      <c r="O67">
        <f>IF(data[[#This Row],[day_of_week]]&gt;5,1,0)</f>
        <v>1</v>
      </c>
      <c r="P67">
        <f>HOUR(data[[#This Row],[session_start]])</f>
        <v>23</v>
      </c>
      <c r="Q67" t="str" cm="1">
        <f t="array" ref="Q67">_xlfn.SWITCH(TRUE, AND(data[[#This Row],[hour]]&gt;=6, data[[#This Row],[hour]]&lt;=11), "Morning", AND(data[[#This Row],[hour]]&gt;=12, data[[#This Row],[hour]]&lt;=17), "Afternoon", AND(data[[#This Row],[hour]]&gt;=18, data[[#This Row],[hour]]&lt;=23), "Evening", TRUE, "Night")</f>
        <v>Evening</v>
      </c>
      <c r="R67" t="str" cm="1">
        <f t="array" ref="R67">_xlfn.IFS(data[[#This Row],[session_duration_min]]&lt;=15, "Short", data[[#This Row],[session_duration_min]]&lt;=45, "Medium",  TRUE, "Long")</f>
        <v>Medium</v>
      </c>
      <c r="S67">
        <f>IFERROR( ROUND(data[[#This Row],[kills]]/data[[#This Row],[deaths]],2), 0)</f>
        <v>0.73</v>
      </c>
      <c r="T67">
        <f>IFERROR( ROUND(data[[#This Row],[headshots]]/data[[#This Row],[kills]]*100,2),0)</f>
        <v>95.45</v>
      </c>
      <c r="U67">
        <f>ROUND(data[[#This Row],[kills]]/data[[#This Row],[session_duration_min]],2)</f>
        <v>0.84</v>
      </c>
      <c r="V67" t="str" cm="1">
        <f t="array" ref="V67">_xlfn.SWITCH(TRUE,AND(data[[#This Row],[session_kdr]]&gt;=1.8,data[[#This Row],[session_hs_pct]]&gt;=70),"Good",AND(data[[#This Row],[session_kdr]]&gt;=1.2,data[[#This Row],[session_hs_pct]]&gt;=50),"Average",TRUE,"Poor")</f>
        <v>Poor</v>
      </c>
      <c r="W67">
        <f>IF(data[[#This Row],[session_quality]]="Poor", 1,0)</f>
        <v>1</v>
      </c>
    </row>
    <row r="68" spans="1:23" x14ac:dyDescent="0.25">
      <c r="A68">
        <v>69</v>
      </c>
      <c r="B68" s="1">
        <v>46115.868252314816</v>
      </c>
      <c r="C68" s="1">
        <v>46115.874826388892</v>
      </c>
      <c r="D68">
        <v>5</v>
      </c>
      <c r="E68">
        <v>5</v>
      </c>
      <c r="F68">
        <v>5</v>
      </c>
      <c r="G68">
        <v>9.4666666666666668</v>
      </c>
      <c r="H68">
        <v>0</v>
      </c>
      <c r="I68">
        <f>YEAR(data[[#This Row],[session_start]])</f>
        <v>2026</v>
      </c>
      <c r="J68">
        <f>MONTH(data[[#This Row],[session_start]])</f>
        <v>4</v>
      </c>
      <c r="K68" t="str">
        <f>TEXT(data[[#This Row],[session_start]], "mmmm")</f>
        <v>April</v>
      </c>
      <c r="L68">
        <f>WEEKNUM(data[[#This Row],[session_start]])</f>
        <v>14</v>
      </c>
      <c r="M68">
        <f>WEEKDAY(data[[#This Row],[session_start]],2)</f>
        <v>5</v>
      </c>
      <c r="N68" t="str">
        <f>TEXT(data[[#This Row],[session_start]],"dddd")</f>
        <v>Friday</v>
      </c>
      <c r="O68">
        <f>IF(data[[#This Row],[day_of_week]]&gt;5,1,0)</f>
        <v>0</v>
      </c>
      <c r="P68">
        <f>HOUR(data[[#This Row],[session_start]])</f>
        <v>20</v>
      </c>
      <c r="Q68" t="str" cm="1">
        <f t="array" ref="Q68">_xlfn.SWITCH(TRUE, AND(data[[#This Row],[hour]]&gt;=6, data[[#This Row],[hour]]&lt;=11), "Morning", AND(data[[#This Row],[hour]]&gt;=12, data[[#This Row],[hour]]&lt;=17), "Afternoon", AND(data[[#This Row],[hour]]&gt;=18, data[[#This Row],[hour]]&lt;=23), "Evening", TRUE, "Night")</f>
        <v>Evening</v>
      </c>
      <c r="R68" t="str" cm="1">
        <f t="array" ref="R68">_xlfn.IFS(data[[#This Row],[session_duration_min]]&lt;=15, "Short", data[[#This Row],[session_duration_min]]&lt;=45, "Medium",  TRUE, "Long")</f>
        <v>Short</v>
      </c>
      <c r="S68">
        <f>IFERROR( ROUND(data[[#This Row],[kills]]/data[[#This Row],[deaths]],2), 0)</f>
        <v>1</v>
      </c>
      <c r="T68">
        <f>IFERROR( ROUND(data[[#This Row],[headshots]]/data[[#This Row],[kills]]*100,2),0)</f>
        <v>100</v>
      </c>
      <c r="U68">
        <f>ROUND(data[[#This Row],[kills]]/data[[#This Row],[session_duration_min]],2)</f>
        <v>0.53</v>
      </c>
      <c r="V68" t="str" cm="1">
        <f t="array" ref="V68">_xlfn.SWITCH(TRUE,AND(data[[#This Row],[session_kdr]]&gt;=1.8,data[[#This Row],[session_hs_pct]]&gt;=70),"Good",AND(data[[#This Row],[session_kdr]]&gt;=1.2,data[[#This Row],[session_hs_pct]]&gt;=50),"Average",TRUE,"Poor")</f>
        <v>Poor</v>
      </c>
      <c r="W68">
        <f>IF(data[[#This Row],[session_quality]]="Poor", 1,0)</f>
        <v>1</v>
      </c>
    </row>
    <row r="69" spans="1:23" x14ac:dyDescent="0.25">
      <c r="A69">
        <v>70</v>
      </c>
      <c r="B69" s="1">
        <v>46115.906493055554</v>
      </c>
      <c r="C69" s="1">
        <v>46115.918738425928</v>
      </c>
      <c r="D69">
        <v>11</v>
      </c>
      <c r="E69">
        <v>15</v>
      </c>
      <c r="F69">
        <v>14</v>
      </c>
      <c r="G69">
        <v>17.633333333333333</v>
      </c>
      <c r="H69">
        <v>0</v>
      </c>
      <c r="I69">
        <f>YEAR(data[[#This Row],[session_start]])</f>
        <v>2026</v>
      </c>
      <c r="J69">
        <f>MONTH(data[[#This Row],[session_start]])</f>
        <v>4</v>
      </c>
      <c r="K69" t="str">
        <f>TEXT(data[[#This Row],[session_start]], "mmmm")</f>
        <v>April</v>
      </c>
      <c r="L69">
        <f>WEEKNUM(data[[#This Row],[session_start]])</f>
        <v>14</v>
      </c>
      <c r="M69">
        <f>WEEKDAY(data[[#This Row],[session_start]],2)</f>
        <v>5</v>
      </c>
      <c r="N69" t="str">
        <f>TEXT(data[[#This Row],[session_start]],"dddd")</f>
        <v>Friday</v>
      </c>
      <c r="O69">
        <f>IF(data[[#This Row],[day_of_week]]&gt;5,1,0)</f>
        <v>0</v>
      </c>
      <c r="P69">
        <f>HOUR(data[[#This Row],[session_start]])</f>
        <v>21</v>
      </c>
      <c r="Q69" t="str" cm="1">
        <f t="array" ref="Q69">_xlfn.SWITCH(TRUE, AND(data[[#This Row],[hour]]&gt;=6, data[[#This Row],[hour]]&lt;=11), "Morning", AND(data[[#This Row],[hour]]&gt;=12, data[[#This Row],[hour]]&lt;=17), "Afternoon", AND(data[[#This Row],[hour]]&gt;=18, data[[#This Row],[hour]]&lt;=23), "Evening", TRUE, "Night")</f>
        <v>Evening</v>
      </c>
      <c r="R69" t="str" cm="1">
        <f t="array" ref="R69">_xlfn.IFS(data[[#This Row],[session_duration_min]]&lt;=15, "Short", data[[#This Row],[session_duration_min]]&lt;=45, "Medium",  TRUE, "Long")</f>
        <v>Medium</v>
      </c>
      <c r="S69">
        <f>IFERROR( ROUND(data[[#This Row],[kills]]/data[[#This Row],[deaths]],2), 0)</f>
        <v>1.07</v>
      </c>
      <c r="T69">
        <f>IFERROR( ROUND(data[[#This Row],[headshots]]/data[[#This Row],[kills]]*100,2),0)</f>
        <v>73.33</v>
      </c>
      <c r="U69">
        <f>ROUND(data[[#This Row],[kills]]/data[[#This Row],[session_duration_min]],2)</f>
        <v>0.85</v>
      </c>
      <c r="V69" t="str" cm="1">
        <f t="array" ref="V69">_xlfn.SWITCH(TRUE,AND(data[[#This Row],[session_kdr]]&gt;=1.8,data[[#This Row],[session_hs_pct]]&gt;=70),"Good",AND(data[[#This Row],[session_kdr]]&gt;=1.2,data[[#This Row],[session_hs_pct]]&gt;=50),"Average",TRUE,"Poor")</f>
        <v>Poor</v>
      </c>
      <c r="W69">
        <f>IF(data[[#This Row],[session_quality]]="Poor", 1,0)</f>
        <v>1</v>
      </c>
    </row>
    <row r="70" spans="1:23" x14ac:dyDescent="0.25">
      <c r="A70">
        <v>71</v>
      </c>
      <c r="B70" s="1">
        <v>46121.960706018515</v>
      </c>
      <c r="C70" s="1">
        <v>46121.967557870368</v>
      </c>
      <c r="D70">
        <v>10</v>
      </c>
      <c r="E70">
        <v>13</v>
      </c>
      <c r="F70">
        <v>12</v>
      </c>
      <c r="G70">
        <v>9.8666666666666671</v>
      </c>
      <c r="H70">
        <v>0</v>
      </c>
      <c r="I70">
        <f>YEAR(data[[#This Row],[session_start]])</f>
        <v>2026</v>
      </c>
      <c r="J70">
        <f>MONTH(data[[#This Row],[session_start]])</f>
        <v>4</v>
      </c>
      <c r="K70" t="str">
        <f>TEXT(data[[#This Row],[session_start]], "mmmm")</f>
        <v>April</v>
      </c>
      <c r="L70">
        <f>WEEKNUM(data[[#This Row],[session_start]])</f>
        <v>15</v>
      </c>
      <c r="M70">
        <f>WEEKDAY(data[[#This Row],[session_start]],2)</f>
        <v>4</v>
      </c>
      <c r="N70" t="str">
        <f>TEXT(data[[#This Row],[session_start]],"dddd")</f>
        <v>Thursday</v>
      </c>
      <c r="O70">
        <f>IF(data[[#This Row],[day_of_week]]&gt;5,1,0)</f>
        <v>0</v>
      </c>
      <c r="P70">
        <f>HOUR(data[[#This Row],[session_start]])</f>
        <v>23</v>
      </c>
      <c r="Q70" t="str" cm="1">
        <f t="array" ref="Q70">_xlfn.SWITCH(TRUE, AND(data[[#This Row],[hour]]&gt;=6, data[[#This Row],[hour]]&lt;=11), "Morning", AND(data[[#This Row],[hour]]&gt;=12, data[[#This Row],[hour]]&lt;=17), "Afternoon", AND(data[[#This Row],[hour]]&gt;=18, data[[#This Row],[hour]]&lt;=23), "Evening", TRUE, "Night")</f>
        <v>Evening</v>
      </c>
      <c r="R70" t="str" cm="1">
        <f t="array" ref="R70">_xlfn.IFS(data[[#This Row],[session_duration_min]]&lt;=15, "Short", data[[#This Row],[session_duration_min]]&lt;=45, "Medium",  TRUE, "Long")</f>
        <v>Short</v>
      </c>
      <c r="S70">
        <f>IFERROR( ROUND(data[[#This Row],[kills]]/data[[#This Row],[deaths]],2), 0)</f>
        <v>1.08</v>
      </c>
      <c r="T70">
        <f>IFERROR( ROUND(data[[#This Row],[headshots]]/data[[#This Row],[kills]]*100,2),0)</f>
        <v>76.92</v>
      </c>
      <c r="U70">
        <f>ROUND(data[[#This Row],[kills]]/data[[#This Row],[session_duration_min]],2)</f>
        <v>1.32</v>
      </c>
      <c r="V70" t="str" cm="1">
        <f t="array" ref="V70">_xlfn.SWITCH(TRUE,AND(data[[#This Row],[session_kdr]]&gt;=1.8,data[[#This Row],[session_hs_pct]]&gt;=70),"Good",AND(data[[#This Row],[session_kdr]]&gt;=1.2,data[[#This Row],[session_hs_pct]]&gt;=50),"Average",TRUE,"Poor")</f>
        <v>Poor</v>
      </c>
      <c r="W70">
        <f>IF(data[[#This Row],[session_quality]]="Poor", 1,0)</f>
        <v>1</v>
      </c>
    </row>
    <row r="71" spans="1:23" x14ac:dyDescent="0.25">
      <c r="A71">
        <v>72</v>
      </c>
      <c r="B71" s="1">
        <v>46121.970532407409</v>
      </c>
      <c r="C71" s="1">
        <v>46121.98364583333</v>
      </c>
      <c r="D71">
        <v>20</v>
      </c>
      <c r="E71">
        <v>25</v>
      </c>
      <c r="F71">
        <v>11</v>
      </c>
      <c r="G71">
        <v>18.733333333333334</v>
      </c>
      <c r="H71">
        <v>0.15</v>
      </c>
      <c r="I71">
        <f>YEAR(data[[#This Row],[session_start]])</f>
        <v>2026</v>
      </c>
      <c r="J71">
        <f>MONTH(data[[#This Row],[session_start]])</f>
        <v>4</v>
      </c>
      <c r="K71" t="str">
        <f>TEXT(data[[#This Row],[session_start]], "mmmm")</f>
        <v>April</v>
      </c>
      <c r="L71">
        <f>WEEKNUM(data[[#This Row],[session_start]])</f>
        <v>15</v>
      </c>
      <c r="M71">
        <f>WEEKDAY(data[[#This Row],[session_start]],2)</f>
        <v>4</v>
      </c>
      <c r="N71" t="str">
        <f>TEXT(data[[#This Row],[session_start]],"dddd")</f>
        <v>Thursday</v>
      </c>
      <c r="O71">
        <f>IF(data[[#This Row],[day_of_week]]&gt;5,1,0)</f>
        <v>0</v>
      </c>
      <c r="P71">
        <f>HOUR(data[[#This Row],[session_start]])</f>
        <v>23</v>
      </c>
      <c r="Q71" t="str" cm="1">
        <f t="array" ref="Q71">_xlfn.SWITCH(TRUE, AND(data[[#This Row],[hour]]&gt;=6, data[[#This Row],[hour]]&lt;=11), "Morning", AND(data[[#This Row],[hour]]&gt;=12, data[[#This Row],[hour]]&lt;=17), "Afternoon", AND(data[[#This Row],[hour]]&gt;=18, data[[#This Row],[hour]]&lt;=23), "Evening", TRUE, "Night")</f>
        <v>Evening</v>
      </c>
      <c r="R71" t="str" cm="1">
        <f t="array" ref="R71">_xlfn.IFS(data[[#This Row],[session_duration_min]]&lt;=15, "Short", data[[#This Row],[session_duration_min]]&lt;=45, "Medium",  TRUE, "Long")</f>
        <v>Medium</v>
      </c>
      <c r="S71">
        <f>IFERROR( ROUND(data[[#This Row],[kills]]/data[[#This Row],[deaths]],2), 0)</f>
        <v>2.27</v>
      </c>
      <c r="T71">
        <f>IFERROR( ROUND(data[[#This Row],[headshots]]/data[[#This Row],[kills]]*100,2),0)</f>
        <v>80</v>
      </c>
      <c r="U71">
        <f>ROUND(data[[#This Row],[kills]]/data[[#This Row],[session_duration_min]],2)</f>
        <v>1.33</v>
      </c>
      <c r="V71" t="str" cm="1">
        <f t="array" ref="V71">_xlfn.SWITCH(TRUE,AND(data[[#This Row],[session_kdr]]&gt;=1.8,data[[#This Row],[session_hs_pct]]&gt;=70),"Good",AND(data[[#This Row],[session_kdr]]&gt;=1.2,data[[#This Row],[session_hs_pct]]&gt;=50),"Average",TRUE,"Poor")</f>
        <v>Good</v>
      </c>
      <c r="W71">
        <f>IF(data[[#This Row],[session_quality]]="Poor", 1,0)</f>
        <v>0</v>
      </c>
    </row>
    <row r="72" spans="1:23" x14ac:dyDescent="0.25">
      <c r="A72">
        <v>73</v>
      </c>
      <c r="B72" s="1">
        <v>46122.997835648152</v>
      </c>
      <c r="C72" s="1">
        <v>46123.004050925927</v>
      </c>
      <c r="D72">
        <v>4</v>
      </c>
      <c r="E72">
        <v>9</v>
      </c>
      <c r="F72">
        <v>5</v>
      </c>
      <c r="G72">
        <v>8.9499999999999993</v>
      </c>
      <c r="H72">
        <v>0</v>
      </c>
      <c r="I72">
        <f>YEAR(data[[#This Row],[session_start]])</f>
        <v>2026</v>
      </c>
      <c r="J72">
        <f>MONTH(data[[#This Row],[session_start]])</f>
        <v>4</v>
      </c>
      <c r="K72" t="str">
        <f>TEXT(data[[#This Row],[session_start]], "mmmm")</f>
        <v>April</v>
      </c>
      <c r="L72">
        <f>WEEKNUM(data[[#This Row],[session_start]])</f>
        <v>15</v>
      </c>
      <c r="M72">
        <f>WEEKDAY(data[[#This Row],[session_start]],2)</f>
        <v>5</v>
      </c>
      <c r="N72" t="str">
        <f>TEXT(data[[#This Row],[session_start]],"dddd")</f>
        <v>Friday</v>
      </c>
      <c r="O72">
        <f>IF(data[[#This Row],[day_of_week]]&gt;5,1,0)</f>
        <v>0</v>
      </c>
      <c r="P72">
        <f>HOUR(data[[#This Row],[session_start]])</f>
        <v>23</v>
      </c>
      <c r="Q72" t="str" cm="1">
        <f t="array" ref="Q72">_xlfn.SWITCH(TRUE, AND(data[[#This Row],[hour]]&gt;=6, data[[#This Row],[hour]]&lt;=11), "Morning", AND(data[[#This Row],[hour]]&gt;=12, data[[#This Row],[hour]]&lt;=17), "Afternoon", AND(data[[#This Row],[hour]]&gt;=18, data[[#This Row],[hour]]&lt;=23), "Evening", TRUE, "Night")</f>
        <v>Evening</v>
      </c>
      <c r="R72" t="str" cm="1">
        <f t="array" ref="R72">_xlfn.IFS(data[[#This Row],[session_duration_min]]&lt;=15, "Short", data[[#This Row],[session_duration_min]]&lt;=45, "Medium",  TRUE, "Long")</f>
        <v>Short</v>
      </c>
      <c r="S72">
        <f>IFERROR( ROUND(data[[#This Row],[kills]]/data[[#This Row],[deaths]],2), 0)</f>
        <v>1.8</v>
      </c>
      <c r="T72">
        <f>IFERROR( ROUND(data[[#This Row],[headshots]]/data[[#This Row],[kills]]*100,2),0)</f>
        <v>44.44</v>
      </c>
      <c r="U72">
        <f>ROUND(data[[#This Row],[kills]]/data[[#This Row],[session_duration_min]],2)</f>
        <v>1.01</v>
      </c>
      <c r="V72" t="str" cm="1">
        <f t="array" ref="V72">_xlfn.SWITCH(TRUE,AND(data[[#This Row],[session_kdr]]&gt;=1.8,data[[#This Row],[session_hs_pct]]&gt;=70),"Good",AND(data[[#This Row],[session_kdr]]&gt;=1.2,data[[#This Row],[session_hs_pct]]&gt;=50),"Average",TRUE,"Poor")</f>
        <v>Poor</v>
      </c>
      <c r="W72">
        <f>IF(data[[#This Row],[session_quality]]="Poor", 1,0)</f>
        <v>1</v>
      </c>
    </row>
    <row r="73" spans="1:23" x14ac:dyDescent="0.25">
      <c r="A73">
        <v>74</v>
      </c>
      <c r="B73" s="1">
        <v>46123.006990740738</v>
      </c>
      <c r="C73" s="1">
        <v>46123.021145833336</v>
      </c>
      <c r="D73">
        <v>16</v>
      </c>
      <c r="E73">
        <v>22</v>
      </c>
      <c r="F73">
        <v>15</v>
      </c>
      <c r="G73">
        <v>17.566666666666666</v>
      </c>
      <c r="H73">
        <v>2.8166666666666669</v>
      </c>
      <c r="I73">
        <f>YEAR(data[[#This Row],[session_start]])</f>
        <v>2026</v>
      </c>
      <c r="J73">
        <f>MONTH(data[[#This Row],[session_start]])</f>
        <v>4</v>
      </c>
      <c r="K73" t="str">
        <f>TEXT(data[[#This Row],[session_start]], "mmmm")</f>
        <v>April</v>
      </c>
      <c r="L73">
        <f>WEEKNUM(data[[#This Row],[session_start]])</f>
        <v>15</v>
      </c>
      <c r="M73">
        <f>WEEKDAY(data[[#This Row],[session_start]],2)</f>
        <v>6</v>
      </c>
      <c r="N73" t="str">
        <f>TEXT(data[[#This Row],[session_start]],"dddd")</f>
        <v>Saturday</v>
      </c>
      <c r="O73">
        <f>IF(data[[#This Row],[day_of_week]]&gt;5,1,0)</f>
        <v>1</v>
      </c>
      <c r="P73">
        <f>HOUR(data[[#This Row],[session_start]])</f>
        <v>0</v>
      </c>
      <c r="Q73" t="str" cm="1">
        <f t="array" ref="Q73">_xlfn.SWITCH(TRUE, AND(data[[#This Row],[hour]]&gt;=6, data[[#This Row],[hour]]&lt;=11), "Morning", AND(data[[#This Row],[hour]]&gt;=12, data[[#This Row],[hour]]&lt;=17), "Afternoon", AND(data[[#This Row],[hour]]&gt;=18, data[[#This Row],[hour]]&lt;=23), "Evening", TRUE, "Night")</f>
        <v>Night</v>
      </c>
      <c r="R73" t="str" cm="1">
        <f t="array" ref="R73">_xlfn.IFS(data[[#This Row],[session_duration_min]]&lt;=15, "Short", data[[#This Row],[session_duration_min]]&lt;=45, "Medium",  TRUE, "Long")</f>
        <v>Medium</v>
      </c>
      <c r="S73">
        <f>IFERROR( ROUND(data[[#This Row],[kills]]/data[[#This Row],[deaths]],2), 0)</f>
        <v>1.47</v>
      </c>
      <c r="T73">
        <f>IFERROR( ROUND(data[[#This Row],[headshots]]/data[[#This Row],[kills]]*100,2),0)</f>
        <v>72.73</v>
      </c>
      <c r="U73">
        <f>ROUND(data[[#This Row],[kills]]/data[[#This Row],[session_duration_min]],2)</f>
        <v>1.25</v>
      </c>
      <c r="V73" t="str" cm="1">
        <f t="array" ref="V73">_xlfn.SWITCH(TRUE,AND(data[[#This Row],[session_kdr]]&gt;=1.8,data[[#This Row],[session_hs_pct]]&gt;=70),"Good",AND(data[[#This Row],[session_kdr]]&gt;=1.2,data[[#This Row],[session_hs_pct]]&gt;=50),"Average",TRUE,"Poor")</f>
        <v>Average</v>
      </c>
      <c r="W73">
        <f>IF(data[[#This Row],[session_quality]]="Poor", 1,0)</f>
        <v>0</v>
      </c>
    </row>
    <row r="74" spans="1:23" x14ac:dyDescent="0.25">
      <c r="A74">
        <v>75</v>
      </c>
      <c r="B74" s="1">
        <v>46124.969756944447</v>
      </c>
      <c r="C74" s="1">
        <v>46124.981956018521</v>
      </c>
      <c r="D74">
        <v>13</v>
      </c>
      <c r="E74">
        <v>14</v>
      </c>
      <c r="F74">
        <v>11</v>
      </c>
      <c r="G74">
        <v>17.566666666666666</v>
      </c>
      <c r="H74">
        <v>0</v>
      </c>
      <c r="I74">
        <f>YEAR(data[[#This Row],[session_start]])</f>
        <v>2026</v>
      </c>
      <c r="J74">
        <f>MONTH(data[[#This Row],[session_start]])</f>
        <v>4</v>
      </c>
      <c r="K74" t="str">
        <f>TEXT(data[[#This Row],[session_start]], "mmmm")</f>
        <v>April</v>
      </c>
      <c r="L74">
        <f>WEEKNUM(data[[#This Row],[session_start]])</f>
        <v>16</v>
      </c>
      <c r="M74">
        <f>WEEKDAY(data[[#This Row],[session_start]],2)</f>
        <v>7</v>
      </c>
      <c r="N74" t="str">
        <f>TEXT(data[[#This Row],[session_start]],"dddd")</f>
        <v>Sunday</v>
      </c>
      <c r="O74">
        <f>IF(data[[#This Row],[day_of_week]]&gt;5,1,0)</f>
        <v>1</v>
      </c>
      <c r="P74">
        <f>HOUR(data[[#This Row],[session_start]])</f>
        <v>23</v>
      </c>
      <c r="Q74" t="str" cm="1">
        <f t="array" ref="Q74">_xlfn.SWITCH(TRUE, AND(data[[#This Row],[hour]]&gt;=6, data[[#This Row],[hour]]&lt;=11), "Morning", AND(data[[#This Row],[hour]]&gt;=12, data[[#This Row],[hour]]&lt;=17), "Afternoon", AND(data[[#This Row],[hour]]&gt;=18, data[[#This Row],[hour]]&lt;=23), "Evening", TRUE, "Night")</f>
        <v>Evening</v>
      </c>
      <c r="R74" t="str" cm="1">
        <f t="array" ref="R74">_xlfn.IFS(data[[#This Row],[session_duration_min]]&lt;=15, "Short", data[[#This Row],[session_duration_min]]&lt;=45, "Medium",  TRUE, "Long")</f>
        <v>Medium</v>
      </c>
      <c r="S74">
        <f>IFERROR( ROUND(data[[#This Row],[kills]]/data[[#This Row],[deaths]],2), 0)</f>
        <v>1.27</v>
      </c>
      <c r="T74">
        <f>IFERROR( ROUND(data[[#This Row],[headshots]]/data[[#This Row],[kills]]*100,2),0)</f>
        <v>92.86</v>
      </c>
      <c r="U74">
        <f>ROUND(data[[#This Row],[kills]]/data[[#This Row],[session_duration_min]],2)</f>
        <v>0.8</v>
      </c>
      <c r="V74" t="str" cm="1">
        <f t="array" ref="V74">_xlfn.SWITCH(TRUE,AND(data[[#This Row],[session_kdr]]&gt;=1.8,data[[#This Row],[session_hs_pct]]&gt;=70),"Good",AND(data[[#This Row],[session_kdr]]&gt;=1.2,data[[#This Row],[session_hs_pct]]&gt;=50),"Average",TRUE,"Poor")</f>
        <v>Average</v>
      </c>
      <c r="W74">
        <f>IF(data[[#This Row],[session_quality]]="Poor", 1,0)</f>
        <v>0</v>
      </c>
    </row>
    <row r="75" spans="1:23" x14ac:dyDescent="0.25">
      <c r="A75">
        <v>76</v>
      </c>
      <c r="B75" s="1">
        <v>46151.904965277776</v>
      </c>
      <c r="C75" s="1">
        <v>46151.912511574075</v>
      </c>
      <c r="D75">
        <v>18</v>
      </c>
      <c r="E75">
        <v>18</v>
      </c>
      <c r="F75">
        <v>7</v>
      </c>
      <c r="G75">
        <v>10.716666666666667</v>
      </c>
      <c r="H75">
        <v>0.15</v>
      </c>
      <c r="I75">
        <f>YEAR(data[[#This Row],[session_start]])</f>
        <v>2026</v>
      </c>
      <c r="J75">
        <f>MONTH(data[[#This Row],[session_start]])</f>
        <v>5</v>
      </c>
      <c r="K75" t="str">
        <f>TEXT(data[[#This Row],[session_start]], "mmmm")</f>
        <v>May</v>
      </c>
      <c r="L75">
        <f>WEEKNUM(data[[#This Row],[session_start]])</f>
        <v>19</v>
      </c>
      <c r="M75">
        <f>WEEKDAY(data[[#This Row],[session_start]],2)</f>
        <v>6</v>
      </c>
      <c r="N75" t="str">
        <f>TEXT(data[[#This Row],[session_start]],"dddd")</f>
        <v>Saturday</v>
      </c>
      <c r="O75">
        <f>IF(data[[#This Row],[day_of_week]]&gt;5,1,0)</f>
        <v>1</v>
      </c>
      <c r="P75">
        <f>HOUR(data[[#This Row],[session_start]])</f>
        <v>21</v>
      </c>
      <c r="Q75" t="str" cm="1">
        <f t="array" ref="Q75">_xlfn.SWITCH(TRUE, AND(data[[#This Row],[hour]]&gt;=6, data[[#This Row],[hour]]&lt;=11), "Morning", AND(data[[#This Row],[hour]]&gt;=12, data[[#This Row],[hour]]&lt;=17), "Afternoon", AND(data[[#This Row],[hour]]&gt;=18, data[[#This Row],[hour]]&lt;=23), "Evening", TRUE, "Night")</f>
        <v>Evening</v>
      </c>
      <c r="R75" t="str" cm="1">
        <f t="array" ref="R75">_xlfn.IFS(data[[#This Row],[session_duration_min]]&lt;=15, "Short", data[[#This Row],[session_duration_min]]&lt;=45, "Medium",  TRUE, "Long")</f>
        <v>Short</v>
      </c>
      <c r="S75">
        <f>IFERROR( ROUND(data[[#This Row],[kills]]/data[[#This Row],[deaths]],2), 0)</f>
        <v>2.57</v>
      </c>
      <c r="T75">
        <f>IFERROR( ROUND(data[[#This Row],[headshots]]/data[[#This Row],[kills]]*100,2),0)</f>
        <v>100</v>
      </c>
      <c r="U75">
        <f>ROUND(data[[#This Row],[kills]]/data[[#This Row],[session_duration_min]],2)</f>
        <v>1.68</v>
      </c>
      <c r="V75" t="str" cm="1">
        <f t="array" ref="V75">_xlfn.SWITCH(TRUE,AND(data[[#This Row],[session_kdr]]&gt;=1.8,data[[#This Row],[session_hs_pct]]&gt;=70),"Good",AND(data[[#This Row],[session_kdr]]&gt;=1.2,data[[#This Row],[session_hs_pct]]&gt;=50),"Average",TRUE,"Poor")</f>
        <v>Good</v>
      </c>
      <c r="W75">
        <f>IF(data[[#This Row],[session_quality]]="Poor", 1,0)</f>
        <v>0</v>
      </c>
    </row>
    <row r="76" spans="1:23" x14ac:dyDescent="0.25">
      <c r="A76">
        <v>77</v>
      </c>
      <c r="B76" s="1">
        <v>46151.916134259256</v>
      </c>
      <c r="C76" s="1">
        <v>46151.91814814815</v>
      </c>
      <c r="D76">
        <v>2</v>
      </c>
      <c r="E76">
        <v>2</v>
      </c>
      <c r="F76">
        <v>3</v>
      </c>
      <c r="G76">
        <v>2.9</v>
      </c>
      <c r="H76">
        <v>0</v>
      </c>
      <c r="I76">
        <f>YEAR(data[[#This Row],[session_start]])</f>
        <v>2026</v>
      </c>
      <c r="J76">
        <f>MONTH(data[[#This Row],[session_start]])</f>
        <v>5</v>
      </c>
      <c r="K76" t="str">
        <f>TEXT(data[[#This Row],[session_start]], "mmmm")</f>
        <v>May</v>
      </c>
      <c r="L76">
        <f>WEEKNUM(data[[#This Row],[session_start]])</f>
        <v>19</v>
      </c>
      <c r="M76">
        <f>WEEKDAY(data[[#This Row],[session_start]],2)</f>
        <v>6</v>
      </c>
      <c r="N76" t="str">
        <f>TEXT(data[[#This Row],[session_start]],"dddd")</f>
        <v>Saturday</v>
      </c>
      <c r="O76">
        <f>IF(data[[#This Row],[day_of_week]]&gt;5,1,0)</f>
        <v>1</v>
      </c>
      <c r="P76">
        <f>HOUR(data[[#This Row],[session_start]])</f>
        <v>21</v>
      </c>
      <c r="Q76" t="str" cm="1">
        <f t="array" ref="Q76">_xlfn.SWITCH(TRUE, AND(data[[#This Row],[hour]]&gt;=6, data[[#This Row],[hour]]&lt;=11), "Morning", AND(data[[#This Row],[hour]]&gt;=12, data[[#This Row],[hour]]&lt;=17), "Afternoon", AND(data[[#This Row],[hour]]&gt;=18, data[[#This Row],[hour]]&lt;=23), "Evening", TRUE, "Night")</f>
        <v>Evening</v>
      </c>
      <c r="R76" t="str" cm="1">
        <f t="array" ref="R76">_xlfn.IFS(data[[#This Row],[session_duration_min]]&lt;=15, "Short", data[[#This Row],[session_duration_min]]&lt;=45, "Medium",  TRUE, "Long")</f>
        <v>Short</v>
      </c>
      <c r="S76">
        <f>IFERROR( ROUND(data[[#This Row],[kills]]/data[[#This Row],[deaths]],2), 0)</f>
        <v>0.67</v>
      </c>
      <c r="T76">
        <f>IFERROR( ROUND(data[[#This Row],[headshots]]/data[[#This Row],[kills]]*100,2),0)</f>
        <v>100</v>
      </c>
      <c r="U76">
        <f>ROUND(data[[#This Row],[kills]]/data[[#This Row],[session_duration_min]],2)</f>
        <v>0.69</v>
      </c>
      <c r="V76" t="str" cm="1">
        <f t="array" ref="V76">_xlfn.SWITCH(TRUE,AND(data[[#This Row],[session_kdr]]&gt;=1.8,data[[#This Row],[session_hs_pct]]&gt;=70),"Good",AND(data[[#This Row],[session_kdr]]&gt;=1.2,data[[#This Row],[session_hs_pct]]&gt;=50),"Average",TRUE,"Poor")</f>
        <v>Poor</v>
      </c>
      <c r="W76">
        <f>IF(data[[#This Row],[session_quality]]="Poor", 1,0)</f>
        <v>1</v>
      </c>
    </row>
    <row r="77" spans="1:23" x14ac:dyDescent="0.25">
      <c r="A77">
        <v>78</v>
      </c>
      <c r="B77" s="1">
        <v>46152.64875</v>
      </c>
      <c r="C77" s="1">
        <v>46152.651805555557</v>
      </c>
      <c r="D77">
        <v>5</v>
      </c>
      <c r="E77">
        <v>5</v>
      </c>
      <c r="F77">
        <v>3</v>
      </c>
      <c r="G77">
        <v>4.4000000000000004</v>
      </c>
      <c r="H77">
        <v>0</v>
      </c>
      <c r="I77">
        <f>YEAR(data[[#This Row],[session_start]])</f>
        <v>2026</v>
      </c>
      <c r="J77">
        <f>MONTH(data[[#This Row],[session_start]])</f>
        <v>5</v>
      </c>
      <c r="K77" t="str">
        <f>TEXT(data[[#This Row],[session_start]], "mmmm")</f>
        <v>May</v>
      </c>
      <c r="L77">
        <f>WEEKNUM(data[[#This Row],[session_start]])</f>
        <v>20</v>
      </c>
      <c r="M77">
        <f>WEEKDAY(data[[#This Row],[session_start]],2)</f>
        <v>7</v>
      </c>
      <c r="N77" t="str">
        <f>TEXT(data[[#This Row],[session_start]],"dddd")</f>
        <v>Sunday</v>
      </c>
      <c r="O77">
        <f>IF(data[[#This Row],[day_of_week]]&gt;5,1,0)</f>
        <v>1</v>
      </c>
      <c r="P77">
        <f>HOUR(data[[#This Row],[session_start]])</f>
        <v>15</v>
      </c>
      <c r="Q77" t="str" cm="1">
        <f t="array" ref="Q77">_xlfn.SWITCH(TRUE, AND(data[[#This Row],[hour]]&gt;=6, data[[#This Row],[hour]]&lt;=11), "Morning", AND(data[[#This Row],[hour]]&gt;=12, data[[#This Row],[hour]]&lt;=17), "Afternoon", AND(data[[#This Row],[hour]]&gt;=18, data[[#This Row],[hour]]&lt;=23), "Evening", TRUE, "Night")</f>
        <v>Afternoon</v>
      </c>
      <c r="R77" t="str" cm="1">
        <f t="array" ref="R77">_xlfn.IFS(data[[#This Row],[session_duration_min]]&lt;=15, "Short", data[[#This Row],[session_duration_min]]&lt;=45, "Medium",  TRUE, "Long")</f>
        <v>Short</v>
      </c>
      <c r="S77">
        <f>IFERROR( ROUND(data[[#This Row],[kills]]/data[[#This Row],[deaths]],2), 0)</f>
        <v>1.67</v>
      </c>
      <c r="T77">
        <f>IFERROR( ROUND(data[[#This Row],[headshots]]/data[[#This Row],[kills]]*100,2),0)</f>
        <v>100</v>
      </c>
      <c r="U77">
        <f>ROUND(data[[#This Row],[kills]]/data[[#This Row],[session_duration_min]],2)</f>
        <v>1.1399999999999999</v>
      </c>
      <c r="V77" t="str" cm="1">
        <f t="array" ref="V77">_xlfn.SWITCH(TRUE,AND(data[[#This Row],[session_kdr]]&gt;=1.8,data[[#This Row],[session_hs_pct]]&gt;=70),"Good",AND(data[[#This Row],[session_kdr]]&gt;=1.2,data[[#This Row],[session_hs_pct]]&gt;=50),"Average",TRUE,"Poor")</f>
        <v>Average</v>
      </c>
      <c r="W77">
        <f>IF(data[[#This Row],[session_quality]]="Poor", 1,0)</f>
        <v>0</v>
      </c>
    </row>
    <row r="78" spans="1:23" x14ac:dyDescent="0.25">
      <c r="A78">
        <v>79</v>
      </c>
      <c r="B78" s="1">
        <v>46155.883657407408</v>
      </c>
      <c r="C78" s="1">
        <v>46155.88821759259</v>
      </c>
      <c r="D78">
        <v>2</v>
      </c>
      <c r="E78">
        <v>5</v>
      </c>
      <c r="F78">
        <v>6</v>
      </c>
      <c r="G78">
        <v>6.5666666666666664</v>
      </c>
      <c r="H78">
        <v>0</v>
      </c>
      <c r="I78">
        <f>YEAR(data[[#This Row],[session_start]])</f>
        <v>2026</v>
      </c>
      <c r="J78">
        <f>MONTH(data[[#This Row],[session_start]])</f>
        <v>5</v>
      </c>
      <c r="K78" t="str">
        <f>TEXT(data[[#This Row],[session_start]], "mmmm")</f>
        <v>May</v>
      </c>
      <c r="L78">
        <f>WEEKNUM(data[[#This Row],[session_start]])</f>
        <v>20</v>
      </c>
      <c r="M78">
        <f>WEEKDAY(data[[#This Row],[session_start]],2)</f>
        <v>3</v>
      </c>
      <c r="N78" t="str">
        <f>TEXT(data[[#This Row],[session_start]],"dddd")</f>
        <v>Wednesday</v>
      </c>
      <c r="O78">
        <f>IF(data[[#This Row],[day_of_week]]&gt;5,1,0)</f>
        <v>0</v>
      </c>
      <c r="P78">
        <f>HOUR(data[[#This Row],[session_start]])</f>
        <v>21</v>
      </c>
      <c r="Q78" t="str" cm="1">
        <f t="array" ref="Q78">_xlfn.SWITCH(TRUE, AND(data[[#This Row],[hour]]&gt;=6, data[[#This Row],[hour]]&lt;=11), "Morning", AND(data[[#This Row],[hour]]&gt;=12, data[[#This Row],[hour]]&lt;=17), "Afternoon", AND(data[[#This Row],[hour]]&gt;=18, data[[#This Row],[hour]]&lt;=23), "Evening", TRUE, "Night")</f>
        <v>Evening</v>
      </c>
      <c r="R78" t="str" cm="1">
        <f t="array" ref="R78">_xlfn.IFS(data[[#This Row],[session_duration_min]]&lt;=15, "Short", data[[#This Row],[session_duration_min]]&lt;=45, "Medium",  TRUE, "Long")</f>
        <v>Short</v>
      </c>
      <c r="S78">
        <f>IFERROR( ROUND(data[[#This Row],[kills]]/data[[#This Row],[deaths]],2), 0)</f>
        <v>0.83</v>
      </c>
      <c r="T78">
        <f>IFERROR( ROUND(data[[#This Row],[headshots]]/data[[#This Row],[kills]]*100,2),0)</f>
        <v>40</v>
      </c>
      <c r="U78">
        <f>ROUND(data[[#This Row],[kills]]/data[[#This Row],[session_duration_min]],2)</f>
        <v>0.76</v>
      </c>
      <c r="V78" t="str" cm="1">
        <f t="array" ref="V78">_xlfn.SWITCH(TRUE,AND(data[[#This Row],[session_kdr]]&gt;=1.8,data[[#This Row],[session_hs_pct]]&gt;=70),"Good",AND(data[[#This Row],[session_kdr]]&gt;=1.2,data[[#This Row],[session_hs_pct]]&gt;=50),"Average",TRUE,"Poor")</f>
        <v>Poor</v>
      </c>
      <c r="W78">
        <f>IF(data[[#This Row],[session_quality]]="Poor", 1,0)</f>
        <v>1</v>
      </c>
    </row>
    <row r="79" spans="1:23" x14ac:dyDescent="0.25">
      <c r="A79">
        <v>80</v>
      </c>
      <c r="B79" s="1">
        <v>46156.919942129629</v>
      </c>
      <c r="C79" s="1">
        <v>46156.932500000003</v>
      </c>
      <c r="D79">
        <v>11</v>
      </c>
      <c r="E79">
        <v>12</v>
      </c>
      <c r="F79">
        <v>19</v>
      </c>
      <c r="G79">
        <v>18.083333333333332</v>
      </c>
      <c r="H79">
        <v>0</v>
      </c>
      <c r="I79">
        <f>YEAR(data[[#This Row],[session_start]])</f>
        <v>2026</v>
      </c>
      <c r="J79">
        <f>MONTH(data[[#This Row],[session_start]])</f>
        <v>5</v>
      </c>
      <c r="K79" t="str">
        <f>TEXT(data[[#This Row],[session_start]], "mmmm")</f>
        <v>May</v>
      </c>
      <c r="L79">
        <f>WEEKNUM(data[[#This Row],[session_start]])</f>
        <v>20</v>
      </c>
      <c r="M79">
        <f>WEEKDAY(data[[#This Row],[session_start]],2)</f>
        <v>4</v>
      </c>
      <c r="N79" t="str">
        <f>TEXT(data[[#This Row],[session_start]],"dddd")</f>
        <v>Thursday</v>
      </c>
      <c r="O79">
        <f>IF(data[[#This Row],[day_of_week]]&gt;5,1,0)</f>
        <v>0</v>
      </c>
      <c r="P79">
        <f>HOUR(data[[#This Row],[session_start]])</f>
        <v>22</v>
      </c>
      <c r="Q79" t="str" cm="1">
        <f t="array" ref="Q79">_xlfn.SWITCH(TRUE, AND(data[[#This Row],[hour]]&gt;=6, data[[#This Row],[hour]]&lt;=11), "Morning", AND(data[[#This Row],[hour]]&gt;=12, data[[#This Row],[hour]]&lt;=17), "Afternoon", AND(data[[#This Row],[hour]]&gt;=18, data[[#This Row],[hour]]&lt;=23), "Evening", TRUE, "Night")</f>
        <v>Evening</v>
      </c>
      <c r="R79" t="str" cm="1">
        <f t="array" ref="R79">_xlfn.IFS(data[[#This Row],[session_duration_min]]&lt;=15, "Short", data[[#This Row],[session_duration_min]]&lt;=45, "Medium",  TRUE, "Long")</f>
        <v>Medium</v>
      </c>
      <c r="S79">
        <f>IFERROR( ROUND(data[[#This Row],[kills]]/data[[#This Row],[deaths]],2), 0)</f>
        <v>0.63</v>
      </c>
      <c r="T79">
        <f>IFERROR( ROUND(data[[#This Row],[headshots]]/data[[#This Row],[kills]]*100,2),0)</f>
        <v>91.67</v>
      </c>
      <c r="U79">
        <f>ROUND(data[[#This Row],[kills]]/data[[#This Row],[session_duration_min]],2)</f>
        <v>0.66</v>
      </c>
      <c r="V79" t="str" cm="1">
        <f t="array" ref="V79">_xlfn.SWITCH(TRUE,AND(data[[#This Row],[session_kdr]]&gt;=1.8,data[[#This Row],[session_hs_pct]]&gt;=70),"Good",AND(data[[#This Row],[session_kdr]]&gt;=1.2,data[[#This Row],[session_hs_pct]]&gt;=50),"Average",TRUE,"Poor")</f>
        <v>Poor</v>
      </c>
      <c r="W79">
        <f>IF(data[[#This Row],[session_quality]]="Poor", 1,0)</f>
        <v>1</v>
      </c>
    </row>
    <row r="80" spans="1:23" x14ac:dyDescent="0.25">
      <c r="A80">
        <v>81</v>
      </c>
      <c r="B80" s="1">
        <v>46157.893009259256</v>
      </c>
      <c r="C80" s="1">
        <v>46157.89439814815</v>
      </c>
      <c r="D80">
        <v>0</v>
      </c>
      <c r="E80">
        <v>0</v>
      </c>
      <c r="F80">
        <v>1</v>
      </c>
      <c r="G80">
        <v>2</v>
      </c>
      <c r="H80">
        <v>0</v>
      </c>
      <c r="I80">
        <f>YEAR(data[[#This Row],[session_start]])</f>
        <v>2026</v>
      </c>
      <c r="J80">
        <f>MONTH(data[[#This Row],[session_start]])</f>
        <v>5</v>
      </c>
      <c r="K80" t="str">
        <f>TEXT(data[[#This Row],[session_start]], "mmmm")</f>
        <v>May</v>
      </c>
      <c r="L80">
        <f>WEEKNUM(data[[#This Row],[session_start]])</f>
        <v>20</v>
      </c>
      <c r="M80">
        <f>WEEKDAY(data[[#This Row],[session_start]],2)</f>
        <v>5</v>
      </c>
      <c r="N80" t="str">
        <f>TEXT(data[[#This Row],[session_start]],"dddd")</f>
        <v>Friday</v>
      </c>
      <c r="O80">
        <f>IF(data[[#This Row],[day_of_week]]&gt;5,1,0)</f>
        <v>0</v>
      </c>
      <c r="P80">
        <f>HOUR(data[[#This Row],[session_start]])</f>
        <v>21</v>
      </c>
      <c r="Q80" t="str" cm="1">
        <f t="array" ref="Q80">_xlfn.SWITCH(TRUE, AND(data[[#This Row],[hour]]&gt;=6, data[[#This Row],[hour]]&lt;=11), "Morning", AND(data[[#This Row],[hour]]&gt;=12, data[[#This Row],[hour]]&lt;=17), "Afternoon", AND(data[[#This Row],[hour]]&gt;=18, data[[#This Row],[hour]]&lt;=23), "Evening", TRUE, "Night")</f>
        <v>Evening</v>
      </c>
      <c r="R80" t="str" cm="1">
        <f t="array" ref="R80">_xlfn.IFS(data[[#This Row],[session_duration_min]]&lt;=15, "Short", data[[#This Row],[session_duration_min]]&lt;=45, "Medium",  TRUE, "Long")</f>
        <v>Short</v>
      </c>
      <c r="S80">
        <f>IFERROR( ROUND(data[[#This Row],[kills]]/data[[#This Row],[deaths]],2), 0)</f>
        <v>0</v>
      </c>
      <c r="T80">
        <f>IFERROR( ROUND(data[[#This Row],[headshots]]/data[[#This Row],[kills]]*100,2),0)</f>
        <v>0</v>
      </c>
      <c r="U80">
        <f>ROUND(data[[#This Row],[kills]]/data[[#This Row],[session_duration_min]],2)</f>
        <v>0</v>
      </c>
      <c r="V80" t="str" cm="1">
        <f t="array" ref="V80">_xlfn.SWITCH(TRUE,AND(data[[#This Row],[session_kdr]]&gt;=1.8,data[[#This Row],[session_hs_pct]]&gt;=70),"Good",AND(data[[#This Row],[session_kdr]]&gt;=1.2,data[[#This Row],[session_hs_pct]]&gt;=50),"Average",TRUE,"Poor")</f>
        <v>Poor</v>
      </c>
      <c r="W80">
        <f>IF(data[[#This Row],[session_quality]]="Poor", 1,0)</f>
        <v>1</v>
      </c>
    </row>
    <row r="81" spans="1:23" x14ac:dyDescent="0.25">
      <c r="A81">
        <v>82</v>
      </c>
      <c r="B81" s="1">
        <v>46173.800798611112</v>
      </c>
      <c r="C81" s="1">
        <v>46173.810717592591</v>
      </c>
      <c r="D81">
        <v>11</v>
      </c>
      <c r="E81">
        <v>13</v>
      </c>
      <c r="F81">
        <v>14</v>
      </c>
      <c r="G81">
        <v>14.283333333333333</v>
      </c>
      <c r="H81">
        <v>0</v>
      </c>
      <c r="I81">
        <f>YEAR(data[[#This Row],[session_start]])</f>
        <v>2026</v>
      </c>
      <c r="J81">
        <f>MONTH(data[[#This Row],[session_start]])</f>
        <v>5</v>
      </c>
      <c r="K81" t="str">
        <f>TEXT(data[[#This Row],[session_start]], "mmmm")</f>
        <v>May</v>
      </c>
      <c r="L81">
        <f>WEEKNUM(data[[#This Row],[session_start]])</f>
        <v>23</v>
      </c>
      <c r="M81">
        <f>WEEKDAY(data[[#This Row],[session_start]],2)</f>
        <v>7</v>
      </c>
      <c r="N81" t="str">
        <f>TEXT(data[[#This Row],[session_start]],"dddd")</f>
        <v>Sunday</v>
      </c>
      <c r="O81">
        <f>IF(data[[#This Row],[day_of_week]]&gt;5,1,0)</f>
        <v>1</v>
      </c>
      <c r="P81">
        <f>HOUR(data[[#This Row],[session_start]])</f>
        <v>19</v>
      </c>
      <c r="Q81" t="str" cm="1">
        <f t="array" ref="Q81">_xlfn.SWITCH(TRUE, AND(data[[#This Row],[hour]]&gt;=6, data[[#This Row],[hour]]&lt;=11), "Morning", AND(data[[#This Row],[hour]]&gt;=12, data[[#This Row],[hour]]&lt;=17), "Afternoon", AND(data[[#This Row],[hour]]&gt;=18, data[[#This Row],[hour]]&lt;=23), "Evening", TRUE, "Night")</f>
        <v>Evening</v>
      </c>
      <c r="R81" t="str" cm="1">
        <f t="array" ref="R81">_xlfn.IFS(data[[#This Row],[session_duration_min]]&lt;=15, "Short", data[[#This Row],[session_duration_min]]&lt;=45, "Medium",  TRUE, "Long")</f>
        <v>Short</v>
      </c>
      <c r="S81">
        <f>IFERROR( ROUND(data[[#This Row],[kills]]/data[[#This Row],[deaths]],2), 0)</f>
        <v>0.93</v>
      </c>
      <c r="T81">
        <f>IFERROR( ROUND(data[[#This Row],[headshots]]/data[[#This Row],[kills]]*100,2),0)</f>
        <v>84.62</v>
      </c>
      <c r="U81">
        <f>ROUND(data[[#This Row],[kills]]/data[[#This Row],[session_duration_min]],2)</f>
        <v>0.91</v>
      </c>
      <c r="V81" t="str" cm="1">
        <f t="array" ref="V81">_xlfn.SWITCH(TRUE,AND(data[[#This Row],[session_kdr]]&gt;=1.8,data[[#This Row],[session_hs_pct]]&gt;=70),"Good",AND(data[[#This Row],[session_kdr]]&gt;=1.2,data[[#This Row],[session_hs_pct]]&gt;=50),"Average",TRUE,"Poor")</f>
        <v>Poor</v>
      </c>
      <c r="W81">
        <f>IF(data[[#This Row],[session_quality]]="Poor", 1,0)</f>
        <v>1</v>
      </c>
    </row>
    <row r="82" spans="1:23" x14ac:dyDescent="0.25">
      <c r="A82">
        <v>83</v>
      </c>
      <c r="B82" s="1">
        <v>46173.868067129632</v>
      </c>
      <c r="C82" s="1">
        <v>46173.875937500001</v>
      </c>
      <c r="D82">
        <v>10</v>
      </c>
      <c r="E82">
        <v>14</v>
      </c>
      <c r="F82">
        <v>8</v>
      </c>
      <c r="G82">
        <v>11.333333333333334</v>
      </c>
      <c r="H82">
        <v>0</v>
      </c>
      <c r="I82">
        <f>YEAR(data[[#This Row],[session_start]])</f>
        <v>2026</v>
      </c>
      <c r="J82">
        <f>MONTH(data[[#This Row],[session_start]])</f>
        <v>5</v>
      </c>
      <c r="K82" t="str">
        <f>TEXT(data[[#This Row],[session_start]], "mmmm")</f>
        <v>May</v>
      </c>
      <c r="L82">
        <f>WEEKNUM(data[[#This Row],[session_start]])</f>
        <v>23</v>
      </c>
      <c r="M82">
        <f>WEEKDAY(data[[#This Row],[session_start]],2)</f>
        <v>7</v>
      </c>
      <c r="N82" t="str">
        <f>TEXT(data[[#This Row],[session_start]],"dddd")</f>
        <v>Sunday</v>
      </c>
      <c r="O82">
        <f>IF(data[[#This Row],[day_of_week]]&gt;5,1,0)</f>
        <v>1</v>
      </c>
      <c r="P82">
        <f>HOUR(data[[#This Row],[session_start]])</f>
        <v>20</v>
      </c>
      <c r="Q82" t="str" cm="1">
        <f t="array" ref="Q82">_xlfn.SWITCH(TRUE, AND(data[[#This Row],[hour]]&gt;=6, data[[#This Row],[hour]]&lt;=11), "Morning", AND(data[[#This Row],[hour]]&gt;=12, data[[#This Row],[hour]]&lt;=17), "Afternoon", AND(data[[#This Row],[hour]]&gt;=18, data[[#This Row],[hour]]&lt;=23), "Evening", TRUE, "Night")</f>
        <v>Evening</v>
      </c>
      <c r="R82" t="str" cm="1">
        <f t="array" ref="R82">_xlfn.IFS(data[[#This Row],[session_duration_min]]&lt;=15, "Short", data[[#This Row],[session_duration_min]]&lt;=45, "Medium",  TRUE, "Long")</f>
        <v>Short</v>
      </c>
      <c r="S82">
        <f>IFERROR( ROUND(data[[#This Row],[kills]]/data[[#This Row],[deaths]],2), 0)</f>
        <v>1.75</v>
      </c>
      <c r="T82">
        <f>IFERROR( ROUND(data[[#This Row],[headshots]]/data[[#This Row],[kills]]*100,2),0)</f>
        <v>71.430000000000007</v>
      </c>
      <c r="U82">
        <f>ROUND(data[[#This Row],[kills]]/data[[#This Row],[session_duration_min]],2)</f>
        <v>1.24</v>
      </c>
      <c r="V82" t="str" cm="1">
        <f t="array" ref="V82">_xlfn.SWITCH(TRUE,AND(data[[#This Row],[session_kdr]]&gt;=1.8,data[[#This Row],[session_hs_pct]]&gt;=70),"Good",AND(data[[#This Row],[session_kdr]]&gt;=1.2,data[[#This Row],[session_hs_pct]]&gt;=50),"Average",TRUE,"Poor")</f>
        <v>Average</v>
      </c>
      <c r="W82">
        <f>IF(data[[#This Row],[session_quality]]="Poor", 1,0)</f>
        <v>0</v>
      </c>
    </row>
    <row r="83" spans="1:23" x14ac:dyDescent="0.25">
      <c r="A83">
        <v>84</v>
      </c>
      <c r="B83" s="1">
        <v>46191.726435185185</v>
      </c>
      <c r="C83" s="1">
        <v>46191.776574074072</v>
      </c>
      <c r="D83">
        <v>62</v>
      </c>
      <c r="E83">
        <v>82</v>
      </c>
      <c r="F83">
        <v>53</v>
      </c>
      <c r="G83">
        <v>69.766666666666666</v>
      </c>
      <c r="H83">
        <v>2.4333333333333336</v>
      </c>
      <c r="I83">
        <f>YEAR(data[[#This Row],[session_start]])</f>
        <v>2026</v>
      </c>
      <c r="J83">
        <f>MONTH(data[[#This Row],[session_start]])</f>
        <v>6</v>
      </c>
      <c r="K83" t="str">
        <f>TEXT(data[[#This Row],[session_start]], "mmmm")</f>
        <v>June</v>
      </c>
      <c r="L83">
        <f>WEEKNUM(data[[#This Row],[session_start]])</f>
        <v>25</v>
      </c>
      <c r="M83">
        <f>WEEKDAY(data[[#This Row],[session_start]],2)</f>
        <v>4</v>
      </c>
      <c r="N83" t="str">
        <f>TEXT(data[[#This Row],[session_start]],"dddd")</f>
        <v>Thursday</v>
      </c>
      <c r="O83">
        <f>IF(data[[#This Row],[day_of_week]]&gt;5,1,0)</f>
        <v>0</v>
      </c>
      <c r="P83">
        <f>HOUR(data[[#This Row],[session_start]])</f>
        <v>17</v>
      </c>
      <c r="Q83" t="str" cm="1">
        <f t="array" ref="Q83">_xlfn.SWITCH(TRUE, AND(data[[#This Row],[hour]]&gt;=6, data[[#This Row],[hour]]&lt;=11), "Morning", AND(data[[#This Row],[hour]]&gt;=12, data[[#This Row],[hour]]&lt;=17), "Afternoon", AND(data[[#This Row],[hour]]&gt;=18, data[[#This Row],[hour]]&lt;=23), "Evening", TRUE, "Night")</f>
        <v>Afternoon</v>
      </c>
      <c r="R83" t="str" cm="1">
        <f t="array" ref="R83">_xlfn.IFS(data[[#This Row],[session_duration_min]]&lt;=15, "Short", data[[#This Row],[session_duration_min]]&lt;=45, "Medium",  TRUE, "Long")</f>
        <v>Long</v>
      </c>
      <c r="S83">
        <f>IFERROR( ROUND(data[[#This Row],[kills]]/data[[#This Row],[deaths]],2), 0)</f>
        <v>1.55</v>
      </c>
      <c r="T83">
        <f>IFERROR( ROUND(data[[#This Row],[headshots]]/data[[#This Row],[kills]]*100,2),0)</f>
        <v>75.61</v>
      </c>
      <c r="U83">
        <f>ROUND(data[[#This Row],[kills]]/data[[#This Row],[session_duration_min]],2)</f>
        <v>1.18</v>
      </c>
      <c r="V83" t="str" cm="1">
        <f t="array" ref="V83">_xlfn.SWITCH(TRUE,AND(data[[#This Row],[session_kdr]]&gt;=1.8,data[[#This Row],[session_hs_pct]]&gt;=70),"Good",AND(data[[#This Row],[session_kdr]]&gt;=1.2,data[[#This Row],[session_hs_pct]]&gt;=50),"Average",TRUE,"Poor")</f>
        <v>Average</v>
      </c>
      <c r="W83">
        <f>IF(data[[#This Row],[session_quality]]="Poor", 1,0)</f>
        <v>0</v>
      </c>
    </row>
    <row r="84" spans="1:23" x14ac:dyDescent="0.25">
      <c r="A84">
        <v>85</v>
      </c>
      <c r="B84" s="1">
        <v>46191.862083333333</v>
      </c>
      <c r="C84" s="1">
        <v>46191.871689814812</v>
      </c>
      <c r="D84">
        <v>6</v>
      </c>
      <c r="E84">
        <v>8</v>
      </c>
      <c r="F84">
        <v>12</v>
      </c>
      <c r="G84">
        <v>12.166666666666666</v>
      </c>
      <c r="H84">
        <v>1.6666666666666667</v>
      </c>
      <c r="I84">
        <f>YEAR(data[[#This Row],[session_start]])</f>
        <v>2026</v>
      </c>
      <c r="J84">
        <f>MONTH(data[[#This Row],[session_start]])</f>
        <v>6</v>
      </c>
      <c r="K84" t="str">
        <f>TEXT(data[[#This Row],[session_start]], "mmmm")</f>
        <v>June</v>
      </c>
      <c r="L84">
        <f>WEEKNUM(data[[#This Row],[session_start]])</f>
        <v>25</v>
      </c>
      <c r="M84">
        <f>WEEKDAY(data[[#This Row],[session_start]],2)</f>
        <v>4</v>
      </c>
      <c r="N84" t="str">
        <f>TEXT(data[[#This Row],[session_start]],"dddd")</f>
        <v>Thursday</v>
      </c>
      <c r="O84">
        <f>IF(data[[#This Row],[day_of_week]]&gt;5,1,0)</f>
        <v>0</v>
      </c>
      <c r="P84">
        <f>HOUR(data[[#This Row],[session_start]])</f>
        <v>20</v>
      </c>
      <c r="Q84" t="str" cm="1">
        <f t="array" ref="Q84">_xlfn.SWITCH(TRUE, AND(data[[#This Row],[hour]]&gt;=6, data[[#This Row],[hour]]&lt;=11), "Morning", AND(data[[#This Row],[hour]]&gt;=12, data[[#This Row],[hour]]&lt;=17), "Afternoon", AND(data[[#This Row],[hour]]&gt;=18, data[[#This Row],[hour]]&lt;=23), "Evening", TRUE, "Night")</f>
        <v>Evening</v>
      </c>
      <c r="R84" t="str" cm="1">
        <f t="array" ref="R84">_xlfn.IFS(data[[#This Row],[session_duration_min]]&lt;=15, "Short", data[[#This Row],[session_duration_min]]&lt;=45, "Medium",  TRUE, "Long")</f>
        <v>Short</v>
      </c>
      <c r="S84">
        <f>IFERROR( ROUND(data[[#This Row],[kills]]/data[[#This Row],[deaths]],2), 0)</f>
        <v>0.67</v>
      </c>
      <c r="T84">
        <f>IFERROR( ROUND(data[[#This Row],[headshots]]/data[[#This Row],[kills]]*100,2),0)</f>
        <v>75</v>
      </c>
      <c r="U84">
        <f>ROUND(data[[#This Row],[kills]]/data[[#This Row],[session_duration_min]],2)</f>
        <v>0.66</v>
      </c>
      <c r="V84" t="str" cm="1">
        <f t="array" ref="V84">_xlfn.SWITCH(TRUE,AND(data[[#This Row],[session_kdr]]&gt;=1.8,data[[#This Row],[session_hs_pct]]&gt;=70),"Good",AND(data[[#This Row],[session_kdr]]&gt;=1.2,data[[#This Row],[session_hs_pct]]&gt;=50),"Average",TRUE,"Poor")</f>
        <v>Poor</v>
      </c>
      <c r="W84">
        <f>IF(data[[#This Row],[session_quality]]="Poor", 1,0)</f>
        <v>1</v>
      </c>
    </row>
    <row r="85" spans="1:23" x14ac:dyDescent="0.25">
      <c r="A85">
        <v>86</v>
      </c>
      <c r="B85" s="1">
        <v>46191.89503472222</v>
      </c>
      <c r="C85" s="1">
        <v>46191.895868055559</v>
      </c>
      <c r="D85">
        <v>0</v>
      </c>
      <c r="E85">
        <v>2</v>
      </c>
      <c r="F85">
        <v>3</v>
      </c>
      <c r="G85">
        <v>1.2</v>
      </c>
      <c r="H85">
        <v>0</v>
      </c>
      <c r="I85">
        <f>YEAR(data[[#This Row],[session_start]])</f>
        <v>2026</v>
      </c>
      <c r="J85">
        <f>MONTH(data[[#This Row],[session_start]])</f>
        <v>6</v>
      </c>
      <c r="K85" t="str">
        <f>TEXT(data[[#This Row],[session_start]], "mmmm")</f>
        <v>June</v>
      </c>
      <c r="L85">
        <f>WEEKNUM(data[[#This Row],[session_start]])</f>
        <v>25</v>
      </c>
      <c r="M85">
        <f>WEEKDAY(data[[#This Row],[session_start]],2)</f>
        <v>4</v>
      </c>
      <c r="N85" t="str">
        <f>TEXT(data[[#This Row],[session_start]],"dddd")</f>
        <v>Thursday</v>
      </c>
      <c r="O85">
        <f>IF(data[[#This Row],[day_of_week]]&gt;5,1,0)</f>
        <v>0</v>
      </c>
      <c r="P85">
        <f>HOUR(data[[#This Row],[session_start]])</f>
        <v>21</v>
      </c>
      <c r="Q85" t="str" cm="1">
        <f t="array" ref="Q85">_xlfn.SWITCH(TRUE, AND(data[[#This Row],[hour]]&gt;=6, data[[#This Row],[hour]]&lt;=11), "Morning", AND(data[[#This Row],[hour]]&gt;=12, data[[#This Row],[hour]]&lt;=17), "Afternoon", AND(data[[#This Row],[hour]]&gt;=18, data[[#This Row],[hour]]&lt;=23), "Evening", TRUE, "Night")</f>
        <v>Evening</v>
      </c>
      <c r="R85" t="str" cm="1">
        <f t="array" ref="R85">_xlfn.IFS(data[[#This Row],[session_duration_min]]&lt;=15, "Short", data[[#This Row],[session_duration_min]]&lt;=45, "Medium",  TRUE, "Long")</f>
        <v>Short</v>
      </c>
      <c r="S85">
        <f>IFERROR( ROUND(data[[#This Row],[kills]]/data[[#This Row],[deaths]],2), 0)</f>
        <v>0.67</v>
      </c>
      <c r="T85">
        <f>IFERROR( ROUND(data[[#This Row],[headshots]]/data[[#This Row],[kills]]*100,2),0)</f>
        <v>0</v>
      </c>
      <c r="U85">
        <f>ROUND(data[[#This Row],[kills]]/data[[#This Row],[session_duration_min]],2)</f>
        <v>1.67</v>
      </c>
      <c r="V85" t="str" cm="1">
        <f t="array" ref="V85">_xlfn.SWITCH(TRUE,AND(data[[#This Row],[session_kdr]]&gt;=1.8,data[[#This Row],[session_hs_pct]]&gt;=70),"Good",AND(data[[#This Row],[session_kdr]]&gt;=1.2,data[[#This Row],[session_hs_pct]]&gt;=50),"Average",TRUE,"Poor")</f>
        <v>Poor</v>
      </c>
      <c r="W85">
        <f>IF(data[[#This Row],[session_quality]]="Poor", 1,0)</f>
        <v>1</v>
      </c>
    </row>
    <row r="86" spans="1:23" x14ac:dyDescent="0.25">
      <c r="A86">
        <v>87</v>
      </c>
      <c r="B86" s="1">
        <v>46192.866215277776</v>
      </c>
      <c r="C86" s="1">
        <v>46192.867476851854</v>
      </c>
      <c r="D86">
        <v>0</v>
      </c>
      <c r="E86">
        <v>0</v>
      </c>
      <c r="F86">
        <v>1</v>
      </c>
      <c r="G86">
        <v>1.8166666666666667</v>
      </c>
      <c r="H86">
        <v>0</v>
      </c>
      <c r="I86">
        <f>YEAR(data[[#This Row],[session_start]])</f>
        <v>2026</v>
      </c>
      <c r="J86">
        <f>MONTH(data[[#This Row],[session_start]])</f>
        <v>6</v>
      </c>
      <c r="K86" t="str">
        <f>TEXT(data[[#This Row],[session_start]], "mmmm")</f>
        <v>June</v>
      </c>
      <c r="L86">
        <f>WEEKNUM(data[[#This Row],[session_start]])</f>
        <v>25</v>
      </c>
      <c r="M86">
        <f>WEEKDAY(data[[#This Row],[session_start]],2)</f>
        <v>5</v>
      </c>
      <c r="N86" t="str">
        <f>TEXT(data[[#This Row],[session_start]],"dddd")</f>
        <v>Friday</v>
      </c>
      <c r="O86">
        <f>IF(data[[#This Row],[day_of_week]]&gt;5,1,0)</f>
        <v>0</v>
      </c>
      <c r="P86">
        <f>HOUR(data[[#This Row],[session_start]])</f>
        <v>20</v>
      </c>
      <c r="Q86" t="str" cm="1">
        <f t="array" ref="Q86">_xlfn.SWITCH(TRUE, AND(data[[#This Row],[hour]]&gt;=6, data[[#This Row],[hour]]&lt;=11), "Morning", AND(data[[#This Row],[hour]]&gt;=12, data[[#This Row],[hour]]&lt;=17), "Afternoon", AND(data[[#This Row],[hour]]&gt;=18, data[[#This Row],[hour]]&lt;=23), "Evening", TRUE, "Night")</f>
        <v>Evening</v>
      </c>
      <c r="R86" t="str" cm="1">
        <f t="array" ref="R86">_xlfn.IFS(data[[#This Row],[session_duration_min]]&lt;=15, "Short", data[[#This Row],[session_duration_min]]&lt;=45, "Medium",  TRUE, "Long")</f>
        <v>Short</v>
      </c>
      <c r="S86">
        <f>IFERROR( ROUND(data[[#This Row],[kills]]/data[[#This Row],[deaths]],2), 0)</f>
        <v>0</v>
      </c>
      <c r="T86">
        <f>IFERROR( ROUND(data[[#This Row],[headshots]]/data[[#This Row],[kills]]*100,2),0)</f>
        <v>0</v>
      </c>
      <c r="U86">
        <f>ROUND(data[[#This Row],[kills]]/data[[#This Row],[session_duration_min]],2)</f>
        <v>0</v>
      </c>
      <c r="V86" t="str" cm="1">
        <f t="array" ref="V86">_xlfn.SWITCH(TRUE,AND(data[[#This Row],[session_kdr]]&gt;=1.8,data[[#This Row],[session_hs_pct]]&gt;=70),"Good",AND(data[[#This Row],[session_kdr]]&gt;=1.2,data[[#This Row],[session_hs_pct]]&gt;=50),"Average",TRUE,"Poor")</f>
        <v>Poor</v>
      </c>
      <c r="W86">
        <f>IF(data[[#This Row],[session_quality]]="Poor", 1,0)</f>
        <v>1</v>
      </c>
    </row>
    <row r="87" spans="1:23" x14ac:dyDescent="0.25">
      <c r="A87">
        <v>88</v>
      </c>
      <c r="B87" s="1">
        <v>46192.880659722221</v>
      </c>
      <c r="C87" s="1">
        <v>46192.927384259259</v>
      </c>
      <c r="D87">
        <v>70</v>
      </c>
      <c r="E87">
        <v>90</v>
      </c>
      <c r="F87">
        <v>52</v>
      </c>
      <c r="G87">
        <v>67.283333333333331</v>
      </c>
      <c r="H87">
        <v>0</v>
      </c>
      <c r="I87">
        <f>YEAR(data[[#This Row],[session_start]])</f>
        <v>2026</v>
      </c>
      <c r="J87">
        <f>MONTH(data[[#This Row],[session_start]])</f>
        <v>6</v>
      </c>
      <c r="K87" t="str">
        <f>TEXT(data[[#This Row],[session_start]], "mmmm")</f>
        <v>June</v>
      </c>
      <c r="L87">
        <f>WEEKNUM(data[[#This Row],[session_start]])</f>
        <v>25</v>
      </c>
      <c r="M87">
        <f>WEEKDAY(data[[#This Row],[session_start]],2)</f>
        <v>5</v>
      </c>
      <c r="N87" t="str">
        <f>TEXT(data[[#This Row],[session_start]],"dddd")</f>
        <v>Friday</v>
      </c>
      <c r="O87">
        <f>IF(data[[#This Row],[day_of_week]]&gt;5,1,0)</f>
        <v>0</v>
      </c>
      <c r="P87">
        <f>HOUR(data[[#This Row],[session_start]])</f>
        <v>21</v>
      </c>
      <c r="Q87" t="str" cm="1">
        <f t="array" ref="Q87">_xlfn.SWITCH(TRUE, AND(data[[#This Row],[hour]]&gt;=6, data[[#This Row],[hour]]&lt;=11), "Morning", AND(data[[#This Row],[hour]]&gt;=12, data[[#This Row],[hour]]&lt;=17), "Afternoon", AND(data[[#This Row],[hour]]&gt;=18, data[[#This Row],[hour]]&lt;=23), "Evening", TRUE, "Night")</f>
        <v>Evening</v>
      </c>
      <c r="R87" t="str" cm="1">
        <f t="array" ref="R87">_xlfn.IFS(data[[#This Row],[session_duration_min]]&lt;=15, "Short", data[[#This Row],[session_duration_min]]&lt;=45, "Medium",  TRUE, "Long")</f>
        <v>Long</v>
      </c>
      <c r="S87">
        <f>IFERROR( ROUND(data[[#This Row],[kills]]/data[[#This Row],[deaths]],2), 0)</f>
        <v>1.73</v>
      </c>
      <c r="T87">
        <f>IFERROR( ROUND(data[[#This Row],[headshots]]/data[[#This Row],[kills]]*100,2),0)</f>
        <v>77.78</v>
      </c>
      <c r="U87">
        <f>ROUND(data[[#This Row],[kills]]/data[[#This Row],[session_duration_min]],2)</f>
        <v>1.34</v>
      </c>
      <c r="V87" t="str" cm="1">
        <f t="array" ref="V87">_xlfn.SWITCH(TRUE,AND(data[[#This Row],[session_kdr]]&gt;=1.8,data[[#This Row],[session_hs_pct]]&gt;=70),"Good",AND(data[[#This Row],[session_kdr]]&gt;=1.2,data[[#This Row],[session_hs_pct]]&gt;=50),"Average",TRUE,"Poor")</f>
        <v>Average</v>
      </c>
      <c r="W87">
        <f>IF(data[[#This Row],[session_quality]]="Poor", 1,0)</f>
        <v>0</v>
      </c>
    </row>
    <row r="88" spans="1:23" x14ac:dyDescent="0.25">
      <c r="A88">
        <v>89</v>
      </c>
      <c r="B88" s="1">
        <v>46193.922581018516</v>
      </c>
      <c r="C88" s="1">
        <v>46193.924155092594</v>
      </c>
      <c r="D88">
        <v>0</v>
      </c>
      <c r="E88">
        <v>0</v>
      </c>
      <c r="F88">
        <v>2</v>
      </c>
      <c r="G88">
        <v>2.2666666666666666</v>
      </c>
      <c r="H88">
        <v>0</v>
      </c>
      <c r="I88">
        <f>YEAR(data[[#This Row],[session_start]])</f>
        <v>2026</v>
      </c>
      <c r="J88">
        <f>MONTH(data[[#This Row],[session_start]])</f>
        <v>6</v>
      </c>
      <c r="K88" t="str">
        <f>TEXT(data[[#This Row],[session_start]], "mmmm")</f>
        <v>June</v>
      </c>
      <c r="L88">
        <f>WEEKNUM(data[[#This Row],[session_start]])</f>
        <v>25</v>
      </c>
      <c r="M88">
        <f>WEEKDAY(data[[#This Row],[session_start]],2)</f>
        <v>6</v>
      </c>
      <c r="N88" t="str">
        <f>TEXT(data[[#This Row],[session_start]],"dddd")</f>
        <v>Saturday</v>
      </c>
      <c r="O88">
        <f>IF(data[[#This Row],[day_of_week]]&gt;5,1,0)</f>
        <v>1</v>
      </c>
      <c r="P88">
        <f>HOUR(data[[#This Row],[session_start]])</f>
        <v>22</v>
      </c>
      <c r="Q88" t="str" cm="1">
        <f t="array" ref="Q88">_xlfn.SWITCH(TRUE, AND(data[[#This Row],[hour]]&gt;=6, data[[#This Row],[hour]]&lt;=11), "Morning", AND(data[[#This Row],[hour]]&gt;=12, data[[#This Row],[hour]]&lt;=17), "Afternoon", AND(data[[#This Row],[hour]]&gt;=18, data[[#This Row],[hour]]&lt;=23), "Evening", TRUE, "Night")</f>
        <v>Evening</v>
      </c>
      <c r="R88" t="str" cm="1">
        <f t="array" ref="R88">_xlfn.IFS(data[[#This Row],[session_duration_min]]&lt;=15, "Short", data[[#This Row],[session_duration_min]]&lt;=45, "Medium",  TRUE, "Long")</f>
        <v>Short</v>
      </c>
      <c r="S88">
        <f>IFERROR( ROUND(data[[#This Row],[kills]]/data[[#This Row],[deaths]],2), 0)</f>
        <v>0</v>
      </c>
      <c r="T88">
        <f>IFERROR( ROUND(data[[#This Row],[headshots]]/data[[#This Row],[kills]]*100,2),0)</f>
        <v>0</v>
      </c>
      <c r="U88">
        <f>ROUND(data[[#This Row],[kills]]/data[[#This Row],[session_duration_min]],2)</f>
        <v>0</v>
      </c>
      <c r="V88" t="str" cm="1">
        <f t="array" ref="V88">_xlfn.SWITCH(TRUE,AND(data[[#This Row],[session_kdr]]&gt;=1.8,data[[#This Row],[session_hs_pct]]&gt;=70),"Good",AND(data[[#This Row],[session_kdr]]&gt;=1.2,data[[#This Row],[session_hs_pct]]&gt;=50),"Average",TRUE,"Poor")</f>
        <v>Poor</v>
      </c>
      <c r="W88">
        <f>IF(data[[#This Row],[session_quality]]="Poor", 1,0)</f>
        <v>1</v>
      </c>
    </row>
    <row r="89" spans="1:23" x14ac:dyDescent="0.25">
      <c r="A89">
        <v>90</v>
      </c>
      <c r="B89" s="1">
        <v>46193.931597222225</v>
      </c>
      <c r="C89" s="1">
        <v>46193.942650462966</v>
      </c>
      <c r="D89">
        <v>12</v>
      </c>
      <c r="E89">
        <v>17</v>
      </c>
      <c r="F89">
        <v>10</v>
      </c>
      <c r="G89">
        <v>15.766666666666667</v>
      </c>
      <c r="H89">
        <v>0.15</v>
      </c>
      <c r="I89">
        <f>YEAR(data[[#This Row],[session_start]])</f>
        <v>2026</v>
      </c>
      <c r="J89">
        <f>MONTH(data[[#This Row],[session_start]])</f>
        <v>6</v>
      </c>
      <c r="K89" t="str">
        <f>TEXT(data[[#This Row],[session_start]], "mmmm")</f>
        <v>June</v>
      </c>
      <c r="L89">
        <f>WEEKNUM(data[[#This Row],[session_start]])</f>
        <v>25</v>
      </c>
      <c r="M89">
        <f>WEEKDAY(data[[#This Row],[session_start]],2)</f>
        <v>6</v>
      </c>
      <c r="N89" t="str">
        <f>TEXT(data[[#This Row],[session_start]],"dddd")</f>
        <v>Saturday</v>
      </c>
      <c r="O89">
        <f>IF(data[[#This Row],[day_of_week]]&gt;5,1,0)</f>
        <v>1</v>
      </c>
      <c r="P89">
        <f>HOUR(data[[#This Row],[session_start]])</f>
        <v>22</v>
      </c>
      <c r="Q89" t="str" cm="1">
        <f t="array" ref="Q89">_xlfn.SWITCH(TRUE, AND(data[[#This Row],[hour]]&gt;=6, data[[#This Row],[hour]]&lt;=11), "Morning", AND(data[[#This Row],[hour]]&gt;=12, data[[#This Row],[hour]]&lt;=17), "Afternoon", AND(data[[#This Row],[hour]]&gt;=18, data[[#This Row],[hour]]&lt;=23), "Evening", TRUE, "Night")</f>
        <v>Evening</v>
      </c>
      <c r="R89" t="str" cm="1">
        <f t="array" ref="R89">_xlfn.IFS(data[[#This Row],[session_duration_min]]&lt;=15, "Short", data[[#This Row],[session_duration_min]]&lt;=45, "Medium",  TRUE, "Long")</f>
        <v>Medium</v>
      </c>
      <c r="S89">
        <f>IFERROR( ROUND(data[[#This Row],[kills]]/data[[#This Row],[deaths]],2), 0)</f>
        <v>1.7</v>
      </c>
      <c r="T89">
        <f>IFERROR( ROUND(data[[#This Row],[headshots]]/data[[#This Row],[kills]]*100,2),0)</f>
        <v>70.59</v>
      </c>
      <c r="U89">
        <f>ROUND(data[[#This Row],[kills]]/data[[#This Row],[session_duration_min]],2)</f>
        <v>1.08</v>
      </c>
      <c r="V89" t="str" cm="1">
        <f t="array" ref="V89">_xlfn.SWITCH(TRUE,AND(data[[#This Row],[session_kdr]]&gt;=1.8,data[[#This Row],[session_hs_pct]]&gt;=70),"Good",AND(data[[#This Row],[session_kdr]]&gt;=1.2,data[[#This Row],[session_hs_pct]]&gt;=50),"Average",TRUE,"Poor")</f>
        <v>Average</v>
      </c>
      <c r="W89">
        <f>IF(data[[#This Row],[session_quality]]="Poor", 1,0)</f>
        <v>0</v>
      </c>
    </row>
    <row r="90" spans="1:23" x14ac:dyDescent="0.25">
      <c r="A90">
        <v>91</v>
      </c>
      <c r="B90" s="1">
        <v>46194.81354166667</v>
      </c>
      <c r="C90" s="1">
        <v>46194.839444444442</v>
      </c>
      <c r="D90">
        <v>31</v>
      </c>
      <c r="E90">
        <v>40</v>
      </c>
      <c r="F90">
        <v>26</v>
      </c>
      <c r="G90">
        <v>37.133333333333333</v>
      </c>
      <c r="H90">
        <v>0.16666666666666666</v>
      </c>
      <c r="I90">
        <f>YEAR(data[[#This Row],[session_start]])</f>
        <v>2026</v>
      </c>
      <c r="J90">
        <f>MONTH(data[[#This Row],[session_start]])</f>
        <v>6</v>
      </c>
      <c r="K90" t="str">
        <f>TEXT(data[[#This Row],[session_start]], "mmmm")</f>
        <v>June</v>
      </c>
      <c r="L90">
        <f>WEEKNUM(data[[#This Row],[session_start]])</f>
        <v>26</v>
      </c>
      <c r="M90">
        <f>WEEKDAY(data[[#This Row],[session_start]],2)</f>
        <v>7</v>
      </c>
      <c r="N90" t="str">
        <f>TEXT(data[[#This Row],[session_start]],"dddd")</f>
        <v>Sunday</v>
      </c>
      <c r="O90">
        <f>IF(data[[#This Row],[day_of_week]]&gt;5,1,0)</f>
        <v>1</v>
      </c>
      <c r="P90">
        <f>HOUR(data[[#This Row],[session_start]])</f>
        <v>19</v>
      </c>
      <c r="Q90" t="str" cm="1">
        <f t="array" ref="Q90">_xlfn.SWITCH(TRUE, AND(data[[#This Row],[hour]]&gt;=6, data[[#This Row],[hour]]&lt;=11), "Morning", AND(data[[#This Row],[hour]]&gt;=12, data[[#This Row],[hour]]&lt;=17), "Afternoon", AND(data[[#This Row],[hour]]&gt;=18, data[[#This Row],[hour]]&lt;=23), "Evening", TRUE, "Night")</f>
        <v>Evening</v>
      </c>
      <c r="R90" t="str" cm="1">
        <f t="array" ref="R90">_xlfn.IFS(data[[#This Row],[session_duration_min]]&lt;=15, "Short", data[[#This Row],[session_duration_min]]&lt;=45, "Medium",  TRUE, "Long")</f>
        <v>Medium</v>
      </c>
      <c r="S90">
        <f>IFERROR( ROUND(data[[#This Row],[kills]]/data[[#This Row],[deaths]],2), 0)</f>
        <v>1.54</v>
      </c>
      <c r="T90">
        <f>IFERROR( ROUND(data[[#This Row],[headshots]]/data[[#This Row],[kills]]*100,2),0)</f>
        <v>77.5</v>
      </c>
      <c r="U90">
        <f>ROUND(data[[#This Row],[kills]]/data[[#This Row],[session_duration_min]],2)</f>
        <v>1.08</v>
      </c>
      <c r="V90" t="str" cm="1">
        <f t="array" ref="V90">_xlfn.SWITCH(TRUE,AND(data[[#This Row],[session_kdr]]&gt;=1.8,data[[#This Row],[session_hs_pct]]&gt;=70),"Good",AND(data[[#This Row],[session_kdr]]&gt;=1.2,data[[#This Row],[session_hs_pct]]&gt;=50),"Average",TRUE,"Poor")</f>
        <v>Average</v>
      </c>
      <c r="W90">
        <f>IF(data[[#This Row],[session_quality]]="Poor", 1,0)</f>
        <v>0</v>
      </c>
    </row>
    <row r="91" spans="1:23" x14ac:dyDescent="0.25">
      <c r="A91">
        <v>92</v>
      </c>
      <c r="B91" s="1">
        <v>46220.900925925926</v>
      </c>
      <c r="C91" s="1">
        <v>46220.946053240739</v>
      </c>
      <c r="D91">
        <v>60</v>
      </c>
      <c r="E91">
        <v>79</v>
      </c>
      <c r="F91">
        <v>45</v>
      </c>
      <c r="G91">
        <v>64.816666666666663</v>
      </c>
      <c r="H91">
        <v>0.16666666666666666</v>
      </c>
      <c r="I91">
        <f>YEAR(data[[#This Row],[session_start]])</f>
        <v>2026</v>
      </c>
      <c r="J91">
        <f>MONTH(data[[#This Row],[session_start]])</f>
        <v>7</v>
      </c>
      <c r="K91" t="str">
        <f>TEXT(data[[#This Row],[session_start]], "mmmm")</f>
        <v>July</v>
      </c>
      <c r="L91">
        <f>WEEKNUM(data[[#This Row],[session_start]])</f>
        <v>29</v>
      </c>
      <c r="M91">
        <f>WEEKDAY(data[[#This Row],[session_start]],2)</f>
        <v>5</v>
      </c>
      <c r="N91" t="str">
        <f>TEXT(data[[#This Row],[session_start]],"dddd")</f>
        <v>Friday</v>
      </c>
      <c r="O91">
        <f>IF(data[[#This Row],[day_of_week]]&gt;5,1,0)</f>
        <v>0</v>
      </c>
      <c r="P91">
        <f>HOUR(data[[#This Row],[session_start]])</f>
        <v>21</v>
      </c>
      <c r="Q91" t="str" cm="1">
        <f t="array" ref="Q91">_xlfn.SWITCH(TRUE, AND(data[[#This Row],[hour]]&gt;=6, data[[#This Row],[hour]]&lt;=11), "Morning", AND(data[[#This Row],[hour]]&gt;=12, data[[#This Row],[hour]]&lt;=17), "Afternoon", AND(data[[#This Row],[hour]]&gt;=18, data[[#This Row],[hour]]&lt;=23), "Evening", TRUE, "Night")</f>
        <v>Evening</v>
      </c>
      <c r="R91" t="str" cm="1">
        <f t="array" ref="R91">_xlfn.IFS(data[[#This Row],[session_duration_min]]&lt;=15, "Short", data[[#This Row],[session_duration_min]]&lt;=45, "Medium",  TRUE, "Long")</f>
        <v>Long</v>
      </c>
      <c r="S91">
        <f>IFERROR( ROUND(data[[#This Row],[kills]]/data[[#This Row],[deaths]],2), 0)</f>
        <v>1.76</v>
      </c>
      <c r="T91">
        <f>IFERROR( ROUND(data[[#This Row],[headshots]]/data[[#This Row],[kills]]*100,2),0)</f>
        <v>75.95</v>
      </c>
      <c r="U91">
        <f>ROUND(data[[#This Row],[kills]]/data[[#This Row],[session_duration_min]],2)</f>
        <v>1.22</v>
      </c>
      <c r="V91" t="str" cm="1">
        <f t="array" ref="V91">_xlfn.SWITCH(TRUE,AND(data[[#This Row],[session_kdr]]&gt;=1.8,data[[#This Row],[session_hs_pct]]&gt;=70),"Good",AND(data[[#This Row],[session_kdr]]&gt;=1.2,data[[#This Row],[session_hs_pct]]&gt;=50),"Average",TRUE,"Poor")</f>
        <v>Average</v>
      </c>
      <c r="W91">
        <f>IF(data[[#This Row],[session_quality]]="Poor", 1,0)</f>
        <v>0</v>
      </c>
    </row>
    <row r="92" spans="1:23" x14ac:dyDescent="0.25">
      <c r="A92">
        <v>93</v>
      </c>
      <c r="B92" s="1">
        <v>46228.997337962966</v>
      </c>
      <c r="C92" s="1">
        <v>46229.009340277778</v>
      </c>
      <c r="D92">
        <v>13</v>
      </c>
      <c r="E92">
        <v>19</v>
      </c>
      <c r="F92">
        <v>12</v>
      </c>
      <c r="G92">
        <v>16.633333333333333</v>
      </c>
      <c r="H92">
        <v>0.65</v>
      </c>
      <c r="I92">
        <f>YEAR(data[[#This Row],[session_start]])</f>
        <v>2026</v>
      </c>
      <c r="J92">
        <f>MONTH(data[[#This Row],[session_start]])</f>
        <v>7</v>
      </c>
      <c r="K92" t="str">
        <f>TEXT(data[[#This Row],[session_start]], "mmmm")</f>
        <v>July</v>
      </c>
      <c r="L92">
        <f>WEEKNUM(data[[#This Row],[session_start]])</f>
        <v>30</v>
      </c>
      <c r="M92">
        <f>WEEKDAY(data[[#This Row],[session_start]],2)</f>
        <v>6</v>
      </c>
      <c r="N92" t="str">
        <f>TEXT(data[[#This Row],[session_start]],"dddd")</f>
        <v>Saturday</v>
      </c>
      <c r="O92">
        <f>IF(data[[#This Row],[day_of_week]]&gt;5,1,0)</f>
        <v>1</v>
      </c>
      <c r="P92">
        <f>HOUR(data[[#This Row],[session_start]])</f>
        <v>23</v>
      </c>
      <c r="Q92" t="str" cm="1">
        <f t="array" ref="Q92">_xlfn.SWITCH(TRUE, AND(data[[#This Row],[hour]]&gt;=6, data[[#This Row],[hour]]&lt;=11), "Morning", AND(data[[#This Row],[hour]]&gt;=12, data[[#This Row],[hour]]&lt;=17), "Afternoon", AND(data[[#This Row],[hour]]&gt;=18, data[[#This Row],[hour]]&lt;=23), "Evening", TRUE, "Night")</f>
        <v>Evening</v>
      </c>
      <c r="R92" t="str" cm="1">
        <f t="array" ref="R92">_xlfn.IFS(data[[#This Row],[session_duration_min]]&lt;=15, "Short", data[[#This Row],[session_duration_min]]&lt;=45, "Medium",  TRUE, "Long")</f>
        <v>Medium</v>
      </c>
      <c r="S92">
        <f>IFERROR( ROUND(data[[#This Row],[kills]]/data[[#This Row],[deaths]],2), 0)</f>
        <v>1.58</v>
      </c>
      <c r="T92">
        <f>IFERROR( ROUND(data[[#This Row],[headshots]]/data[[#This Row],[kills]]*100,2),0)</f>
        <v>68.42</v>
      </c>
      <c r="U92">
        <f>ROUND(data[[#This Row],[kills]]/data[[#This Row],[session_duration_min]],2)</f>
        <v>1.1399999999999999</v>
      </c>
      <c r="V92" t="str" cm="1">
        <f t="array" ref="V92">_xlfn.SWITCH(TRUE,AND(data[[#This Row],[session_kdr]]&gt;=1.8,data[[#This Row],[session_hs_pct]]&gt;=70),"Good",AND(data[[#This Row],[session_kdr]]&gt;=1.2,data[[#This Row],[session_hs_pct]]&gt;=50),"Average",TRUE,"Poor")</f>
        <v>Average</v>
      </c>
      <c r="W92">
        <f>IF(data[[#This Row],[session_quality]]="Poor", 1,0)</f>
        <v>0</v>
      </c>
    </row>
    <row r="93" spans="1:23" x14ac:dyDescent="0.25">
      <c r="A93">
        <v>94</v>
      </c>
      <c r="B93" s="1">
        <v>46251.928483796299</v>
      </c>
      <c r="C93" s="1">
        <v>46251.931909722225</v>
      </c>
      <c r="D93">
        <v>0</v>
      </c>
      <c r="E93">
        <v>0</v>
      </c>
      <c r="F93">
        <v>2</v>
      </c>
      <c r="G93">
        <v>4.9333333333333336</v>
      </c>
      <c r="H93">
        <v>0</v>
      </c>
      <c r="I93">
        <f>YEAR(data[[#This Row],[session_start]])</f>
        <v>2026</v>
      </c>
      <c r="J93">
        <f>MONTH(data[[#This Row],[session_start]])</f>
        <v>8</v>
      </c>
      <c r="K93" t="str">
        <f>TEXT(data[[#This Row],[session_start]], "mmmm")</f>
        <v>August</v>
      </c>
      <c r="L93">
        <f>WEEKNUM(data[[#This Row],[session_start]])</f>
        <v>34</v>
      </c>
      <c r="M93">
        <f>WEEKDAY(data[[#This Row],[session_start]],2)</f>
        <v>1</v>
      </c>
      <c r="N93" t="str">
        <f>TEXT(data[[#This Row],[session_start]],"dddd")</f>
        <v>Monday</v>
      </c>
      <c r="O93">
        <f>IF(data[[#This Row],[day_of_week]]&gt;5,1,0)</f>
        <v>0</v>
      </c>
      <c r="P93">
        <f>HOUR(data[[#This Row],[session_start]])</f>
        <v>22</v>
      </c>
      <c r="Q93" t="str" cm="1">
        <f t="array" ref="Q93">_xlfn.SWITCH(TRUE, AND(data[[#This Row],[hour]]&gt;=6, data[[#This Row],[hour]]&lt;=11), "Morning", AND(data[[#This Row],[hour]]&gt;=12, data[[#This Row],[hour]]&lt;=17), "Afternoon", AND(data[[#This Row],[hour]]&gt;=18, data[[#This Row],[hour]]&lt;=23), "Evening", TRUE, "Night")</f>
        <v>Evening</v>
      </c>
      <c r="R93" t="str" cm="1">
        <f t="array" ref="R93">_xlfn.IFS(data[[#This Row],[session_duration_min]]&lt;=15, "Short", data[[#This Row],[session_duration_min]]&lt;=45, "Medium",  TRUE, "Long")</f>
        <v>Short</v>
      </c>
      <c r="S93">
        <f>IFERROR( ROUND(data[[#This Row],[kills]]/data[[#This Row],[deaths]],2), 0)</f>
        <v>0</v>
      </c>
      <c r="T93">
        <f>IFERROR( ROUND(data[[#This Row],[headshots]]/data[[#This Row],[kills]]*100,2),0)</f>
        <v>0</v>
      </c>
      <c r="U93">
        <f>ROUND(data[[#This Row],[kills]]/data[[#This Row],[session_duration_min]],2)</f>
        <v>0</v>
      </c>
      <c r="V93" t="str" cm="1">
        <f t="array" ref="V93">_xlfn.SWITCH(TRUE,AND(data[[#This Row],[session_kdr]]&gt;=1.8,data[[#This Row],[session_hs_pct]]&gt;=70),"Good",AND(data[[#This Row],[session_kdr]]&gt;=1.2,data[[#This Row],[session_hs_pct]]&gt;=50),"Average",TRUE,"Poor")</f>
        <v>Poor</v>
      </c>
      <c r="W93">
        <f>IF(data[[#This Row],[session_quality]]="Poor", 1,0)</f>
        <v>1</v>
      </c>
    </row>
    <row r="94" spans="1:23" x14ac:dyDescent="0.25">
      <c r="A94">
        <v>95</v>
      </c>
      <c r="B94" s="1">
        <v>46251.967916666668</v>
      </c>
      <c r="C94" s="1">
        <v>46251.992534722223</v>
      </c>
      <c r="D94">
        <v>37</v>
      </c>
      <c r="E94">
        <v>50</v>
      </c>
      <c r="F94">
        <v>29</v>
      </c>
      <c r="G94">
        <v>35.450000000000003</v>
      </c>
      <c r="H94">
        <v>0</v>
      </c>
      <c r="I94">
        <f>YEAR(data[[#This Row],[session_start]])</f>
        <v>2026</v>
      </c>
      <c r="J94">
        <f>MONTH(data[[#This Row],[session_start]])</f>
        <v>8</v>
      </c>
      <c r="K94" t="str">
        <f>TEXT(data[[#This Row],[session_start]], "mmmm")</f>
        <v>August</v>
      </c>
      <c r="L94">
        <f>WEEKNUM(data[[#This Row],[session_start]])</f>
        <v>34</v>
      </c>
      <c r="M94">
        <f>WEEKDAY(data[[#This Row],[session_start]],2)</f>
        <v>1</v>
      </c>
      <c r="N94" t="str">
        <f>TEXT(data[[#This Row],[session_start]],"dddd")</f>
        <v>Monday</v>
      </c>
      <c r="O94">
        <f>IF(data[[#This Row],[day_of_week]]&gt;5,1,0)</f>
        <v>0</v>
      </c>
      <c r="P94">
        <f>HOUR(data[[#This Row],[session_start]])</f>
        <v>23</v>
      </c>
      <c r="Q94" t="str" cm="1">
        <f t="array" ref="Q94">_xlfn.SWITCH(TRUE, AND(data[[#This Row],[hour]]&gt;=6, data[[#This Row],[hour]]&lt;=11), "Morning", AND(data[[#This Row],[hour]]&gt;=12, data[[#This Row],[hour]]&lt;=17), "Afternoon", AND(data[[#This Row],[hour]]&gt;=18, data[[#This Row],[hour]]&lt;=23), "Evening", TRUE, "Night")</f>
        <v>Evening</v>
      </c>
      <c r="R94" t="str" cm="1">
        <f t="array" ref="R94">_xlfn.IFS(data[[#This Row],[session_duration_min]]&lt;=15, "Short", data[[#This Row],[session_duration_min]]&lt;=45, "Medium",  TRUE, "Long")</f>
        <v>Medium</v>
      </c>
      <c r="S94">
        <f>IFERROR( ROUND(data[[#This Row],[kills]]/data[[#This Row],[deaths]],2), 0)</f>
        <v>1.72</v>
      </c>
      <c r="T94">
        <f>IFERROR( ROUND(data[[#This Row],[headshots]]/data[[#This Row],[kills]]*100,2),0)</f>
        <v>74</v>
      </c>
      <c r="U94">
        <f>ROUND(data[[#This Row],[kills]]/data[[#This Row],[session_duration_min]],2)</f>
        <v>1.41</v>
      </c>
      <c r="V94" t="str" cm="1">
        <f t="array" ref="V94">_xlfn.SWITCH(TRUE,AND(data[[#This Row],[session_kdr]]&gt;=1.8,data[[#This Row],[session_hs_pct]]&gt;=70),"Good",AND(data[[#This Row],[session_kdr]]&gt;=1.2,data[[#This Row],[session_hs_pct]]&gt;=50),"Average",TRUE,"Poor")</f>
        <v>Average</v>
      </c>
      <c r="W94">
        <f>IF(data[[#This Row],[session_quality]]="Poor", 1,0)</f>
        <v>0</v>
      </c>
    </row>
    <row r="95" spans="1:23" x14ac:dyDescent="0.25">
      <c r="A95">
        <v>96</v>
      </c>
      <c r="B95" s="1">
        <v>46276.802719907406</v>
      </c>
      <c r="C95" s="1">
        <v>46276.807928240742</v>
      </c>
      <c r="D95">
        <v>10</v>
      </c>
      <c r="E95">
        <v>11</v>
      </c>
      <c r="F95">
        <v>6</v>
      </c>
      <c r="G95">
        <v>7.5</v>
      </c>
      <c r="H95">
        <v>0</v>
      </c>
      <c r="I95">
        <f>YEAR(data[[#This Row],[session_start]])</f>
        <v>2026</v>
      </c>
      <c r="J95">
        <f>MONTH(data[[#This Row],[session_start]])</f>
        <v>9</v>
      </c>
      <c r="K95" t="str">
        <f>TEXT(data[[#This Row],[session_start]], "mmmm")</f>
        <v>September</v>
      </c>
      <c r="L95">
        <f>WEEKNUM(data[[#This Row],[session_start]])</f>
        <v>37</v>
      </c>
      <c r="M95">
        <f>WEEKDAY(data[[#This Row],[session_start]],2)</f>
        <v>5</v>
      </c>
      <c r="N95" t="str">
        <f>TEXT(data[[#This Row],[session_start]],"dddd")</f>
        <v>Friday</v>
      </c>
      <c r="O95">
        <f>IF(data[[#This Row],[day_of_week]]&gt;5,1,0)</f>
        <v>0</v>
      </c>
      <c r="P95">
        <f>HOUR(data[[#This Row],[session_start]])</f>
        <v>19</v>
      </c>
      <c r="Q95" t="str" cm="1">
        <f t="array" ref="Q95">_xlfn.SWITCH(TRUE, AND(data[[#This Row],[hour]]&gt;=6, data[[#This Row],[hour]]&lt;=11), "Morning", AND(data[[#This Row],[hour]]&gt;=12, data[[#This Row],[hour]]&lt;=17), "Afternoon", AND(data[[#This Row],[hour]]&gt;=18, data[[#This Row],[hour]]&lt;=23), "Evening", TRUE, "Night")</f>
        <v>Evening</v>
      </c>
      <c r="R95" t="str" cm="1">
        <f t="array" ref="R95">_xlfn.IFS(data[[#This Row],[session_duration_min]]&lt;=15, "Short", data[[#This Row],[session_duration_min]]&lt;=45, "Medium",  TRUE, "Long")</f>
        <v>Short</v>
      </c>
      <c r="S95">
        <f>IFERROR( ROUND(data[[#This Row],[kills]]/data[[#This Row],[deaths]],2), 0)</f>
        <v>1.83</v>
      </c>
      <c r="T95">
        <f>IFERROR( ROUND(data[[#This Row],[headshots]]/data[[#This Row],[kills]]*100,2),0)</f>
        <v>90.91</v>
      </c>
      <c r="U95">
        <f>ROUND(data[[#This Row],[kills]]/data[[#This Row],[session_duration_min]],2)</f>
        <v>1.47</v>
      </c>
      <c r="V95" t="str" cm="1">
        <f t="array" ref="V95">_xlfn.SWITCH(TRUE,AND(data[[#This Row],[session_kdr]]&gt;=1.8,data[[#This Row],[session_hs_pct]]&gt;=70),"Good",AND(data[[#This Row],[session_kdr]]&gt;=1.2,data[[#This Row],[session_hs_pct]]&gt;=50),"Average",TRUE,"Poor")</f>
        <v>Good</v>
      </c>
      <c r="W95">
        <f>IF(data[[#This Row],[session_quality]]="Poor", 1,0)</f>
        <v>0</v>
      </c>
    </row>
    <row r="96" spans="1:23" x14ac:dyDescent="0.25">
      <c r="A96">
        <v>97</v>
      </c>
      <c r="B96" s="1">
        <v>46281.851226851853</v>
      </c>
      <c r="C96" s="1">
        <v>46281.862986111111</v>
      </c>
      <c r="D96">
        <v>16</v>
      </c>
      <c r="E96">
        <v>18</v>
      </c>
      <c r="F96">
        <v>11</v>
      </c>
      <c r="G96">
        <v>16.933333333333334</v>
      </c>
      <c r="H96">
        <v>0</v>
      </c>
      <c r="I96">
        <f>YEAR(data[[#This Row],[session_start]])</f>
        <v>2026</v>
      </c>
      <c r="J96">
        <f>MONTH(data[[#This Row],[session_start]])</f>
        <v>9</v>
      </c>
      <c r="K96" t="str">
        <f>TEXT(data[[#This Row],[session_start]], "mmmm")</f>
        <v>September</v>
      </c>
      <c r="L96">
        <f>WEEKNUM(data[[#This Row],[session_start]])</f>
        <v>38</v>
      </c>
      <c r="M96">
        <f>WEEKDAY(data[[#This Row],[session_start]],2)</f>
        <v>3</v>
      </c>
      <c r="N96" t="str">
        <f>TEXT(data[[#This Row],[session_start]],"dddd")</f>
        <v>Wednesday</v>
      </c>
      <c r="O96">
        <f>IF(data[[#This Row],[day_of_week]]&gt;5,1,0)</f>
        <v>0</v>
      </c>
      <c r="P96">
        <f>HOUR(data[[#This Row],[session_start]])</f>
        <v>20</v>
      </c>
      <c r="Q96" t="str" cm="1">
        <f t="array" ref="Q96">_xlfn.SWITCH(TRUE, AND(data[[#This Row],[hour]]&gt;=6, data[[#This Row],[hour]]&lt;=11), "Morning", AND(data[[#This Row],[hour]]&gt;=12, data[[#This Row],[hour]]&lt;=17), "Afternoon", AND(data[[#This Row],[hour]]&gt;=18, data[[#This Row],[hour]]&lt;=23), "Evening", TRUE, "Night")</f>
        <v>Evening</v>
      </c>
      <c r="R96" t="str" cm="1">
        <f t="array" ref="R96">_xlfn.IFS(data[[#This Row],[session_duration_min]]&lt;=15, "Short", data[[#This Row],[session_duration_min]]&lt;=45, "Medium",  TRUE, "Long")</f>
        <v>Medium</v>
      </c>
      <c r="S96">
        <f>IFERROR( ROUND(data[[#This Row],[kills]]/data[[#This Row],[deaths]],2), 0)</f>
        <v>1.64</v>
      </c>
      <c r="T96">
        <f>IFERROR( ROUND(data[[#This Row],[headshots]]/data[[#This Row],[kills]]*100,2),0)</f>
        <v>88.89</v>
      </c>
      <c r="U96">
        <f>ROUND(data[[#This Row],[kills]]/data[[#This Row],[session_duration_min]],2)</f>
        <v>1.06</v>
      </c>
      <c r="V96" t="str" cm="1">
        <f t="array" ref="V96">_xlfn.SWITCH(TRUE,AND(data[[#This Row],[session_kdr]]&gt;=1.8,data[[#This Row],[session_hs_pct]]&gt;=70),"Good",AND(data[[#This Row],[session_kdr]]&gt;=1.2,data[[#This Row],[session_hs_pct]]&gt;=50),"Average",TRUE,"Poor")</f>
        <v>Average</v>
      </c>
      <c r="W96">
        <f>IF(data[[#This Row],[session_quality]]="Poor", 1,0)</f>
        <v>0</v>
      </c>
    </row>
    <row r="97" spans="1:23" x14ac:dyDescent="0.25">
      <c r="A97">
        <v>98</v>
      </c>
      <c r="B97" s="1">
        <v>46289.78329861111</v>
      </c>
      <c r="C97" s="1">
        <v>46289.824953703705</v>
      </c>
      <c r="D97">
        <v>32</v>
      </c>
      <c r="E97">
        <v>45</v>
      </c>
      <c r="F97">
        <v>40</v>
      </c>
      <c r="G97">
        <v>49.216666666666669</v>
      </c>
      <c r="H97">
        <v>10.766666666666666</v>
      </c>
      <c r="I97">
        <f>YEAR(data[[#This Row],[session_start]])</f>
        <v>2026</v>
      </c>
      <c r="J97">
        <f>MONTH(data[[#This Row],[session_start]])</f>
        <v>9</v>
      </c>
      <c r="K97" t="str">
        <f>TEXT(data[[#This Row],[session_start]], "mmmm")</f>
        <v>September</v>
      </c>
      <c r="L97">
        <f>WEEKNUM(data[[#This Row],[session_start]])</f>
        <v>39</v>
      </c>
      <c r="M97">
        <f>WEEKDAY(data[[#This Row],[session_start]],2)</f>
        <v>4</v>
      </c>
      <c r="N97" t="str">
        <f>TEXT(data[[#This Row],[session_start]],"dddd")</f>
        <v>Thursday</v>
      </c>
      <c r="O97">
        <f>IF(data[[#This Row],[day_of_week]]&gt;5,1,0)</f>
        <v>0</v>
      </c>
      <c r="P97">
        <f>HOUR(data[[#This Row],[session_start]])</f>
        <v>18</v>
      </c>
      <c r="Q97" t="str" cm="1">
        <f t="array" ref="Q97">_xlfn.SWITCH(TRUE, AND(data[[#This Row],[hour]]&gt;=6, data[[#This Row],[hour]]&lt;=11), "Morning", AND(data[[#This Row],[hour]]&gt;=12, data[[#This Row],[hour]]&lt;=17), "Afternoon", AND(data[[#This Row],[hour]]&gt;=18, data[[#This Row],[hour]]&lt;=23), "Evening", TRUE, "Night")</f>
        <v>Evening</v>
      </c>
      <c r="R97" t="str" cm="1">
        <f t="array" ref="R97">_xlfn.IFS(data[[#This Row],[session_duration_min]]&lt;=15, "Short", data[[#This Row],[session_duration_min]]&lt;=45, "Medium",  TRUE, "Long")</f>
        <v>Long</v>
      </c>
      <c r="S97">
        <f>IFERROR( ROUND(data[[#This Row],[kills]]/data[[#This Row],[deaths]],2), 0)</f>
        <v>1.1299999999999999</v>
      </c>
      <c r="T97">
        <f>IFERROR( ROUND(data[[#This Row],[headshots]]/data[[#This Row],[kills]]*100,2),0)</f>
        <v>71.11</v>
      </c>
      <c r="U97">
        <f>ROUND(data[[#This Row],[kills]]/data[[#This Row],[session_duration_min]],2)</f>
        <v>0.91</v>
      </c>
      <c r="V97" t="str" cm="1">
        <f t="array" ref="V97">_xlfn.SWITCH(TRUE,AND(data[[#This Row],[session_kdr]]&gt;=1.8,data[[#This Row],[session_hs_pct]]&gt;=70),"Good",AND(data[[#This Row],[session_kdr]]&gt;=1.2,data[[#This Row],[session_hs_pct]]&gt;=50),"Average",TRUE,"Poor")</f>
        <v>Poor</v>
      </c>
      <c r="W97">
        <f>IF(data[[#This Row],[session_quality]]="Poor", 1,0)</f>
        <v>1</v>
      </c>
    </row>
    <row r="98" spans="1:23" x14ac:dyDescent="0.25">
      <c r="A98">
        <v>99</v>
      </c>
      <c r="B98" s="1">
        <v>46289.829895833333</v>
      </c>
      <c r="C98" s="1">
        <v>46289.886412037034</v>
      </c>
      <c r="D98">
        <v>63</v>
      </c>
      <c r="E98">
        <v>92</v>
      </c>
      <c r="F98">
        <v>75</v>
      </c>
      <c r="G98">
        <v>81.23333333333332</v>
      </c>
      <c r="H98">
        <v>0.15</v>
      </c>
      <c r="I98">
        <f>YEAR(data[[#This Row],[session_start]])</f>
        <v>2026</v>
      </c>
      <c r="J98">
        <f>MONTH(data[[#This Row],[session_start]])</f>
        <v>9</v>
      </c>
      <c r="K98" t="str">
        <f>TEXT(data[[#This Row],[session_start]], "mmmm")</f>
        <v>September</v>
      </c>
      <c r="L98">
        <f>WEEKNUM(data[[#This Row],[session_start]])</f>
        <v>39</v>
      </c>
      <c r="M98">
        <f>WEEKDAY(data[[#This Row],[session_start]],2)</f>
        <v>4</v>
      </c>
      <c r="N98" t="str">
        <f>TEXT(data[[#This Row],[session_start]],"dddd")</f>
        <v>Thursday</v>
      </c>
      <c r="O98">
        <f>IF(data[[#This Row],[day_of_week]]&gt;5,1,0)</f>
        <v>0</v>
      </c>
      <c r="P98">
        <f>HOUR(data[[#This Row],[session_start]])</f>
        <v>19</v>
      </c>
      <c r="Q98" t="str" cm="1">
        <f t="array" ref="Q98">_xlfn.SWITCH(TRUE, AND(data[[#This Row],[hour]]&gt;=6, data[[#This Row],[hour]]&lt;=11), "Morning", AND(data[[#This Row],[hour]]&gt;=12, data[[#This Row],[hour]]&lt;=17), "Afternoon", AND(data[[#This Row],[hour]]&gt;=18, data[[#This Row],[hour]]&lt;=23), "Evening", TRUE, "Night")</f>
        <v>Evening</v>
      </c>
      <c r="R98" t="str" cm="1">
        <f t="array" ref="R98">_xlfn.IFS(data[[#This Row],[session_duration_min]]&lt;=15, "Short", data[[#This Row],[session_duration_min]]&lt;=45, "Medium",  TRUE, "Long")</f>
        <v>Long</v>
      </c>
      <c r="S98">
        <f>IFERROR( ROUND(data[[#This Row],[kills]]/data[[#This Row],[deaths]],2), 0)</f>
        <v>1.23</v>
      </c>
      <c r="T98">
        <f>IFERROR( ROUND(data[[#This Row],[headshots]]/data[[#This Row],[kills]]*100,2),0)</f>
        <v>68.48</v>
      </c>
      <c r="U98">
        <f>ROUND(data[[#This Row],[kills]]/data[[#This Row],[session_duration_min]],2)</f>
        <v>1.1299999999999999</v>
      </c>
      <c r="V98" t="str" cm="1">
        <f t="array" ref="V98">_xlfn.SWITCH(TRUE,AND(data[[#This Row],[session_kdr]]&gt;=1.8,data[[#This Row],[session_hs_pct]]&gt;=70),"Good",AND(data[[#This Row],[session_kdr]]&gt;=1.2,data[[#This Row],[session_hs_pct]]&gt;=50),"Average",TRUE,"Poor")</f>
        <v>Average</v>
      </c>
      <c r="W98">
        <f>IF(data[[#This Row],[session_quality]]="Poor", 1,0)</f>
        <v>0</v>
      </c>
    </row>
    <row r="99" spans="1:23" x14ac:dyDescent="0.25">
      <c r="A99">
        <v>100</v>
      </c>
      <c r="B99" s="1">
        <v>46290.834120370368</v>
      </c>
      <c r="C99" s="1">
        <v>46290.871527777781</v>
      </c>
      <c r="D99">
        <v>40</v>
      </c>
      <c r="E99">
        <v>56</v>
      </c>
      <c r="F99">
        <v>37</v>
      </c>
      <c r="G99">
        <v>48.883333333333333</v>
      </c>
      <c r="H99">
        <v>4.9833333333333334</v>
      </c>
      <c r="I99">
        <f>YEAR(data[[#This Row],[session_start]])</f>
        <v>2026</v>
      </c>
      <c r="J99">
        <f>MONTH(data[[#This Row],[session_start]])</f>
        <v>9</v>
      </c>
      <c r="K99" t="str">
        <f>TEXT(data[[#This Row],[session_start]], "mmmm")</f>
        <v>September</v>
      </c>
      <c r="L99">
        <f>WEEKNUM(data[[#This Row],[session_start]])</f>
        <v>39</v>
      </c>
      <c r="M99">
        <f>WEEKDAY(data[[#This Row],[session_start]],2)</f>
        <v>5</v>
      </c>
      <c r="N99" t="str">
        <f>TEXT(data[[#This Row],[session_start]],"dddd")</f>
        <v>Friday</v>
      </c>
      <c r="O99">
        <f>IF(data[[#This Row],[day_of_week]]&gt;5,1,0)</f>
        <v>0</v>
      </c>
      <c r="P99">
        <f>HOUR(data[[#This Row],[session_start]])</f>
        <v>20</v>
      </c>
      <c r="Q99" t="str" cm="1">
        <f t="array" ref="Q99">_xlfn.SWITCH(TRUE, AND(data[[#This Row],[hour]]&gt;=6, data[[#This Row],[hour]]&lt;=11), "Morning", AND(data[[#This Row],[hour]]&gt;=12, data[[#This Row],[hour]]&lt;=17), "Afternoon", AND(data[[#This Row],[hour]]&gt;=18, data[[#This Row],[hour]]&lt;=23), "Evening", TRUE, "Night")</f>
        <v>Evening</v>
      </c>
      <c r="R99" t="str" cm="1">
        <f t="array" ref="R99">_xlfn.IFS(data[[#This Row],[session_duration_min]]&lt;=15, "Short", data[[#This Row],[session_duration_min]]&lt;=45, "Medium",  TRUE, "Long")</f>
        <v>Long</v>
      </c>
      <c r="S99">
        <f>IFERROR( ROUND(data[[#This Row],[kills]]/data[[#This Row],[deaths]],2), 0)</f>
        <v>1.51</v>
      </c>
      <c r="T99">
        <f>IFERROR( ROUND(data[[#This Row],[headshots]]/data[[#This Row],[kills]]*100,2),0)</f>
        <v>71.430000000000007</v>
      </c>
      <c r="U99">
        <f>ROUND(data[[#This Row],[kills]]/data[[#This Row],[session_duration_min]],2)</f>
        <v>1.1499999999999999</v>
      </c>
      <c r="V99" t="str" cm="1">
        <f t="array" ref="V99">_xlfn.SWITCH(TRUE,AND(data[[#This Row],[session_kdr]]&gt;=1.8,data[[#This Row],[session_hs_pct]]&gt;=70),"Good",AND(data[[#This Row],[session_kdr]]&gt;=1.2,data[[#This Row],[session_hs_pct]]&gt;=50),"Average",TRUE,"Poor")</f>
        <v>Average</v>
      </c>
      <c r="W99">
        <f>IF(data[[#This Row],[session_quality]]="Poor", 1,0)</f>
        <v>0</v>
      </c>
    </row>
    <row r="100" spans="1:23" x14ac:dyDescent="0.25">
      <c r="A100">
        <v>101</v>
      </c>
      <c r="B100" s="1">
        <v>46291.846759259257</v>
      </c>
      <c r="C100" s="1">
        <v>46291.848356481481</v>
      </c>
      <c r="D100">
        <v>0</v>
      </c>
      <c r="E100">
        <v>0</v>
      </c>
      <c r="F100">
        <v>1</v>
      </c>
      <c r="G100">
        <v>2.2999999999999998</v>
      </c>
      <c r="H100">
        <v>0</v>
      </c>
      <c r="I100">
        <f>YEAR(data[[#This Row],[session_start]])</f>
        <v>2026</v>
      </c>
      <c r="J100">
        <f>MONTH(data[[#This Row],[session_start]])</f>
        <v>9</v>
      </c>
      <c r="K100" t="str">
        <f>TEXT(data[[#This Row],[session_start]], "mmmm")</f>
        <v>September</v>
      </c>
      <c r="L100">
        <f>WEEKNUM(data[[#This Row],[session_start]])</f>
        <v>39</v>
      </c>
      <c r="M100">
        <f>WEEKDAY(data[[#This Row],[session_start]],2)</f>
        <v>6</v>
      </c>
      <c r="N100" t="str">
        <f>TEXT(data[[#This Row],[session_start]],"dddd")</f>
        <v>Saturday</v>
      </c>
      <c r="O100">
        <f>IF(data[[#This Row],[day_of_week]]&gt;5,1,0)</f>
        <v>1</v>
      </c>
      <c r="P100">
        <f>HOUR(data[[#This Row],[session_start]])</f>
        <v>20</v>
      </c>
      <c r="Q100" t="str" cm="1">
        <f t="array" ref="Q100">_xlfn.SWITCH(TRUE, AND(data[[#This Row],[hour]]&gt;=6, data[[#This Row],[hour]]&lt;=11), "Morning", AND(data[[#This Row],[hour]]&gt;=12, data[[#This Row],[hour]]&lt;=17), "Afternoon", AND(data[[#This Row],[hour]]&gt;=18, data[[#This Row],[hour]]&lt;=23), "Evening", TRUE, "Night")</f>
        <v>Evening</v>
      </c>
      <c r="R100" t="str" cm="1">
        <f t="array" ref="R100">_xlfn.IFS(data[[#This Row],[session_duration_min]]&lt;=15, "Short", data[[#This Row],[session_duration_min]]&lt;=45, "Medium",  TRUE, "Long")</f>
        <v>Short</v>
      </c>
      <c r="S100">
        <f>IFERROR( ROUND(data[[#This Row],[kills]]/data[[#This Row],[deaths]],2), 0)</f>
        <v>0</v>
      </c>
      <c r="T100">
        <f>IFERROR( ROUND(data[[#This Row],[headshots]]/data[[#This Row],[kills]]*100,2),0)</f>
        <v>0</v>
      </c>
      <c r="U100">
        <f>ROUND(data[[#This Row],[kills]]/data[[#This Row],[session_duration_min]],2)</f>
        <v>0</v>
      </c>
      <c r="V100" t="str" cm="1">
        <f t="array" ref="V100">_xlfn.SWITCH(TRUE,AND(data[[#This Row],[session_kdr]]&gt;=1.8,data[[#This Row],[session_hs_pct]]&gt;=70),"Good",AND(data[[#This Row],[session_kdr]]&gt;=1.2,data[[#This Row],[session_hs_pct]]&gt;=50),"Average",TRUE,"Poor")</f>
        <v>Poor</v>
      </c>
      <c r="W100">
        <f>IF(data[[#This Row],[session_quality]]="Poor", 1,0)</f>
        <v>1</v>
      </c>
    </row>
    <row r="101" spans="1:23" x14ac:dyDescent="0.25">
      <c r="A101">
        <v>102</v>
      </c>
      <c r="B101" s="1">
        <v>46291.852071759262</v>
      </c>
      <c r="C101" s="1">
        <v>46291.90483796296</v>
      </c>
      <c r="D101">
        <v>69</v>
      </c>
      <c r="E101">
        <v>79</v>
      </c>
      <c r="F101">
        <v>67</v>
      </c>
      <c r="G101">
        <v>75.816666666666663</v>
      </c>
      <c r="H101">
        <v>0.16666666666666666</v>
      </c>
      <c r="I101">
        <f>YEAR(data[[#This Row],[session_start]])</f>
        <v>2026</v>
      </c>
      <c r="J101">
        <f>MONTH(data[[#This Row],[session_start]])</f>
        <v>9</v>
      </c>
      <c r="K101" t="str">
        <f>TEXT(data[[#This Row],[session_start]], "mmmm")</f>
        <v>September</v>
      </c>
      <c r="L101">
        <f>WEEKNUM(data[[#This Row],[session_start]])</f>
        <v>39</v>
      </c>
      <c r="M101">
        <f>WEEKDAY(data[[#This Row],[session_start]],2)</f>
        <v>6</v>
      </c>
      <c r="N101" t="str">
        <f>TEXT(data[[#This Row],[session_start]],"dddd")</f>
        <v>Saturday</v>
      </c>
      <c r="O101">
        <f>IF(data[[#This Row],[day_of_week]]&gt;5,1,0)</f>
        <v>1</v>
      </c>
      <c r="P101">
        <f>HOUR(data[[#This Row],[session_start]])</f>
        <v>20</v>
      </c>
      <c r="Q101" t="str" cm="1">
        <f t="array" ref="Q101">_xlfn.SWITCH(TRUE, AND(data[[#This Row],[hour]]&gt;=6, data[[#This Row],[hour]]&lt;=11), "Morning", AND(data[[#This Row],[hour]]&gt;=12, data[[#This Row],[hour]]&lt;=17), "Afternoon", AND(data[[#This Row],[hour]]&gt;=18, data[[#This Row],[hour]]&lt;=23), "Evening", TRUE, "Night")</f>
        <v>Evening</v>
      </c>
      <c r="R101" t="str" cm="1">
        <f t="array" ref="R101">_xlfn.IFS(data[[#This Row],[session_duration_min]]&lt;=15, "Short", data[[#This Row],[session_duration_min]]&lt;=45, "Medium",  TRUE, "Long")</f>
        <v>Long</v>
      </c>
      <c r="S101">
        <f>IFERROR( ROUND(data[[#This Row],[kills]]/data[[#This Row],[deaths]],2), 0)</f>
        <v>1.18</v>
      </c>
      <c r="T101">
        <f>IFERROR( ROUND(data[[#This Row],[headshots]]/data[[#This Row],[kills]]*100,2),0)</f>
        <v>87.34</v>
      </c>
      <c r="U101">
        <f>ROUND(data[[#This Row],[kills]]/data[[#This Row],[session_duration_min]],2)</f>
        <v>1.04</v>
      </c>
      <c r="V101" t="str" cm="1">
        <f t="array" ref="V101">_xlfn.SWITCH(TRUE,AND(data[[#This Row],[session_kdr]]&gt;=1.8,data[[#This Row],[session_hs_pct]]&gt;=70),"Good",AND(data[[#This Row],[session_kdr]]&gt;=1.2,data[[#This Row],[session_hs_pct]]&gt;=50),"Average",TRUE,"Poor")</f>
        <v>Poor</v>
      </c>
      <c r="W101">
        <f>IF(data[[#This Row],[session_quality]]="Poor", 1,0)</f>
        <v>1</v>
      </c>
    </row>
    <row r="102" spans="1:23" x14ac:dyDescent="0.25">
      <c r="A102">
        <v>103</v>
      </c>
      <c r="B102" s="1">
        <v>46291.963935185187</v>
      </c>
      <c r="C102" s="1">
        <v>46291.964768518519</v>
      </c>
      <c r="D102">
        <v>0</v>
      </c>
      <c r="E102">
        <v>0</v>
      </c>
      <c r="F102">
        <v>1</v>
      </c>
      <c r="G102">
        <v>1.2</v>
      </c>
      <c r="H102">
        <v>0</v>
      </c>
      <c r="I102">
        <f>YEAR(data[[#This Row],[session_start]])</f>
        <v>2026</v>
      </c>
      <c r="J102">
        <f>MONTH(data[[#This Row],[session_start]])</f>
        <v>9</v>
      </c>
      <c r="K102" t="str">
        <f>TEXT(data[[#This Row],[session_start]], "mmmm")</f>
        <v>September</v>
      </c>
      <c r="L102">
        <f>WEEKNUM(data[[#This Row],[session_start]])</f>
        <v>39</v>
      </c>
      <c r="M102">
        <f>WEEKDAY(data[[#This Row],[session_start]],2)</f>
        <v>6</v>
      </c>
      <c r="N102" t="str">
        <f>TEXT(data[[#This Row],[session_start]],"dddd")</f>
        <v>Saturday</v>
      </c>
      <c r="O102">
        <f>IF(data[[#This Row],[day_of_week]]&gt;5,1,0)</f>
        <v>1</v>
      </c>
      <c r="P102">
        <f>HOUR(data[[#This Row],[session_start]])</f>
        <v>23</v>
      </c>
      <c r="Q102" t="str" cm="1">
        <f t="array" ref="Q102">_xlfn.SWITCH(TRUE, AND(data[[#This Row],[hour]]&gt;=6, data[[#This Row],[hour]]&lt;=11), "Morning", AND(data[[#This Row],[hour]]&gt;=12, data[[#This Row],[hour]]&lt;=17), "Afternoon", AND(data[[#This Row],[hour]]&gt;=18, data[[#This Row],[hour]]&lt;=23), "Evening", TRUE, "Night")</f>
        <v>Evening</v>
      </c>
      <c r="R102" t="str" cm="1">
        <f t="array" ref="R102">_xlfn.IFS(data[[#This Row],[session_duration_min]]&lt;=15, "Short", data[[#This Row],[session_duration_min]]&lt;=45, "Medium",  TRUE, "Long")</f>
        <v>Short</v>
      </c>
      <c r="S102">
        <f>IFERROR( ROUND(data[[#This Row],[kills]]/data[[#This Row],[deaths]],2), 0)</f>
        <v>0</v>
      </c>
      <c r="T102">
        <f>IFERROR( ROUND(data[[#This Row],[headshots]]/data[[#This Row],[kills]]*100,2),0)</f>
        <v>0</v>
      </c>
      <c r="U102">
        <f>ROUND(data[[#This Row],[kills]]/data[[#This Row],[session_duration_min]],2)</f>
        <v>0</v>
      </c>
      <c r="V102" t="str" cm="1">
        <f t="array" ref="V102">_xlfn.SWITCH(TRUE,AND(data[[#This Row],[session_kdr]]&gt;=1.8,data[[#This Row],[session_hs_pct]]&gt;=70),"Good",AND(data[[#This Row],[session_kdr]]&gt;=1.2,data[[#This Row],[session_hs_pct]]&gt;=50),"Average",TRUE,"Poor")</f>
        <v>Poor</v>
      </c>
      <c r="W102">
        <f>IF(data[[#This Row],[session_quality]]="Poor", 1,0)</f>
        <v>1</v>
      </c>
    </row>
    <row r="103" spans="1:23" x14ac:dyDescent="0.25">
      <c r="A103">
        <v>104</v>
      </c>
      <c r="B103" s="1">
        <v>46292.698553240742</v>
      </c>
      <c r="C103" s="1">
        <v>46292.70207175926</v>
      </c>
      <c r="D103">
        <v>2</v>
      </c>
      <c r="E103">
        <v>3</v>
      </c>
      <c r="F103">
        <v>6</v>
      </c>
      <c r="G103">
        <v>4.9833333333333334</v>
      </c>
      <c r="H103">
        <v>8.3333333333333329E-2</v>
      </c>
      <c r="I103">
        <f>YEAR(data[[#This Row],[session_start]])</f>
        <v>2026</v>
      </c>
      <c r="J103">
        <f>MONTH(data[[#This Row],[session_start]])</f>
        <v>9</v>
      </c>
      <c r="K103" t="str">
        <f>TEXT(data[[#This Row],[session_start]], "mmmm")</f>
        <v>September</v>
      </c>
      <c r="L103">
        <f>WEEKNUM(data[[#This Row],[session_start]])</f>
        <v>40</v>
      </c>
      <c r="M103">
        <f>WEEKDAY(data[[#This Row],[session_start]],2)</f>
        <v>7</v>
      </c>
      <c r="N103" t="str">
        <f>TEXT(data[[#This Row],[session_start]],"dddd")</f>
        <v>Sunday</v>
      </c>
      <c r="O103">
        <f>IF(data[[#This Row],[day_of_week]]&gt;5,1,0)</f>
        <v>1</v>
      </c>
      <c r="P103">
        <f>HOUR(data[[#This Row],[session_start]])</f>
        <v>16</v>
      </c>
      <c r="Q103" t="str" cm="1">
        <f t="array" ref="Q103">_xlfn.SWITCH(TRUE, AND(data[[#This Row],[hour]]&gt;=6, data[[#This Row],[hour]]&lt;=11), "Morning", AND(data[[#This Row],[hour]]&gt;=12, data[[#This Row],[hour]]&lt;=17), "Afternoon", AND(data[[#This Row],[hour]]&gt;=18, data[[#This Row],[hour]]&lt;=23), "Evening", TRUE, "Night")</f>
        <v>Afternoon</v>
      </c>
      <c r="R103" t="str" cm="1">
        <f t="array" ref="R103">_xlfn.IFS(data[[#This Row],[session_duration_min]]&lt;=15, "Short", data[[#This Row],[session_duration_min]]&lt;=45, "Medium",  TRUE, "Long")</f>
        <v>Short</v>
      </c>
      <c r="S103">
        <f>IFERROR( ROUND(data[[#This Row],[kills]]/data[[#This Row],[deaths]],2), 0)</f>
        <v>0.5</v>
      </c>
      <c r="T103">
        <f>IFERROR( ROUND(data[[#This Row],[headshots]]/data[[#This Row],[kills]]*100,2),0)</f>
        <v>66.67</v>
      </c>
      <c r="U103">
        <f>ROUND(data[[#This Row],[kills]]/data[[#This Row],[session_duration_min]],2)</f>
        <v>0.6</v>
      </c>
      <c r="V103" t="str" cm="1">
        <f t="array" ref="V103">_xlfn.SWITCH(TRUE,AND(data[[#This Row],[session_kdr]]&gt;=1.8,data[[#This Row],[session_hs_pct]]&gt;=70),"Good",AND(data[[#This Row],[session_kdr]]&gt;=1.2,data[[#This Row],[session_hs_pct]]&gt;=50),"Average",TRUE,"Poor")</f>
        <v>Poor</v>
      </c>
      <c r="W103">
        <f>IF(data[[#This Row],[session_quality]]="Poor", 1,0)</f>
        <v>1</v>
      </c>
    </row>
    <row r="104" spans="1:23" x14ac:dyDescent="0.25">
      <c r="A104">
        <v>105</v>
      </c>
      <c r="B104" s="1">
        <v>46298.818414351852</v>
      </c>
      <c r="C104" s="1">
        <v>46298.829270833332</v>
      </c>
      <c r="D104">
        <v>7</v>
      </c>
      <c r="E104">
        <v>8</v>
      </c>
      <c r="F104">
        <v>13</v>
      </c>
      <c r="G104">
        <v>15.633333333333333</v>
      </c>
      <c r="H104">
        <v>0</v>
      </c>
      <c r="I104">
        <f>YEAR(data[[#This Row],[session_start]])</f>
        <v>2026</v>
      </c>
      <c r="J104">
        <f>MONTH(data[[#This Row],[session_start]])</f>
        <v>10</v>
      </c>
      <c r="K104" t="str">
        <f>TEXT(data[[#This Row],[session_start]], "mmmm")</f>
        <v>October</v>
      </c>
      <c r="L104">
        <f>WEEKNUM(data[[#This Row],[session_start]])</f>
        <v>40</v>
      </c>
      <c r="M104">
        <f>WEEKDAY(data[[#This Row],[session_start]],2)</f>
        <v>6</v>
      </c>
      <c r="N104" t="str">
        <f>TEXT(data[[#This Row],[session_start]],"dddd")</f>
        <v>Saturday</v>
      </c>
      <c r="O104">
        <f>IF(data[[#This Row],[day_of_week]]&gt;5,1,0)</f>
        <v>1</v>
      </c>
      <c r="P104">
        <f>HOUR(data[[#This Row],[session_start]])</f>
        <v>19</v>
      </c>
      <c r="Q104" t="str" cm="1">
        <f t="array" ref="Q104">_xlfn.SWITCH(TRUE, AND(data[[#This Row],[hour]]&gt;=6, data[[#This Row],[hour]]&lt;=11), "Morning", AND(data[[#This Row],[hour]]&gt;=12, data[[#This Row],[hour]]&lt;=17), "Afternoon", AND(data[[#This Row],[hour]]&gt;=18, data[[#This Row],[hour]]&lt;=23), "Evening", TRUE, "Night")</f>
        <v>Evening</v>
      </c>
      <c r="R104" t="str" cm="1">
        <f t="array" ref="R104">_xlfn.IFS(data[[#This Row],[session_duration_min]]&lt;=15, "Short", data[[#This Row],[session_duration_min]]&lt;=45, "Medium",  TRUE, "Long")</f>
        <v>Medium</v>
      </c>
      <c r="S104">
        <f>IFERROR( ROUND(data[[#This Row],[kills]]/data[[#This Row],[deaths]],2), 0)</f>
        <v>0.62</v>
      </c>
      <c r="T104">
        <f>IFERROR( ROUND(data[[#This Row],[headshots]]/data[[#This Row],[kills]]*100,2),0)</f>
        <v>87.5</v>
      </c>
      <c r="U104">
        <f>ROUND(data[[#This Row],[kills]]/data[[#This Row],[session_duration_min]],2)</f>
        <v>0.51</v>
      </c>
      <c r="V104" t="str" cm="1">
        <f t="array" ref="V104">_xlfn.SWITCH(TRUE,AND(data[[#This Row],[session_kdr]]&gt;=1.8,data[[#This Row],[session_hs_pct]]&gt;=70),"Good",AND(data[[#This Row],[session_kdr]]&gt;=1.2,data[[#This Row],[session_hs_pct]]&gt;=50),"Average",TRUE,"Poor")</f>
        <v>Poor</v>
      </c>
      <c r="W104">
        <f>IF(data[[#This Row],[session_quality]]="Poor", 1,0)</f>
        <v>1</v>
      </c>
    </row>
    <row r="105" spans="1:23" x14ac:dyDescent="0.25">
      <c r="A105">
        <v>106</v>
      </c>
      <c r="B105" s="1">
        <v>46298.832939814813</v>
      </c>
      <c r="C105" s="1">
        <v>46298.878946759258</v>
      </c>
      <c r="D105">
        <v>59</v>
      </c>
      <c r="E105">
        <v>72</v>
      </c>
      <c r="F105">
        <v>47</v>
      </c>
      <c r="G105">
        <v>59.95</v>
      </c>
      <c r="H105">
        <v>6.3</v>
      </c>
      <c r="I105">
        <f>YEAR(data[[#This Row],[session_start]])</f>
        <v>2026</v>
      </c>
      <c r="J105">
        <f>MONTH(data[[#This Row],[session_start]])</f>
        <v>10</v>
      </c>
      <c r="K105" t="str">
        <f>TEXT(data[[#This Row],[session_start]], "mmmm")</f>
        <v>October</v>
      </c>
      <c r="L105">
        <f>WEEKNUM(data[[#This Row],[session_start]])</f>
        <v>40</v>
      </c>
      <c r="M105">
        <f>WEEKDAY(data[[#This Row],[session_start]],2)</f>
        <v>6</v>
      </c>
      <c r="N105" t="str">
        <f>TEXT(data[[#This Row],[session_start]],"dddd")</f>
        <v>Saturday</v>
      </c>
      <c r="O105">
        <f>IF(data[[#This Row],[day_of_week]]&gt;5,1,0)</f>
        <v>1</v>
      </c>
      <c r="P105">
        <f>HOUR(data[[#This Row],[session_start]])</f>
        <v>19</v>
      </c>
      <c r="Q105" t="str" cm="1">
        <f t="array" ref="Q105">_xlfn.SWITCH(TRUE, AND(data[[#This Row],[hour]]&gt;=6, data[[#This Row],[hour]]&lt;=11), "Morning", AND(data[[#This Row],[hour]]&gt;=12, data[[#This Row],[hour]]&lt;=17), "Afternoon", AND(data[[#This Row],[hour]]&gt;=18, data[[#This Row],[hour]]&lt;=23), "Evening", TRUE, "Night")</f>
        <v>Evening</v>
      </c>
      <c r="R105" t="str" cm="1">
        <f t="array" ref="R105">_xlfn.IFS(data[[#This Row],[session_duration_min]]&lt;=15, "Short", data[[#This Row],[session_duration_min]]&lt;=45, "Medium",  TRUE, "Long")</f>
        <v>Long</v>
      </c>
      <c r="S105">
        <f>IFERROR( ROUND(data[[#This Row],[kills]]/data[[#This Row],[deaths]],2), 0)</f>
        <v>1.53</v>
      </c>
      <c r="T105">
        <f>IFERROR( ROUND(data[[#This Row],[headshots]]/data[[#This Row],[kills]]*100,2),0)</f>
        <v>81.94</v>
      </c>
      <c r="U105">
        <f>ROUND(data[[#This Row],[kills]]/data[[#This Row],[session_duration_min]],2)</f>
        <v>1.2</v>
      </c>
      <c r="V105" t="str" cm="1">
        <f t="array" ref="V105">_xlfn.SWITCH(TRUE,AND(data[[#This Row],[session_kdr]]&gt;=1.8,data[[#This Row],[session_hs_pct]]&gt;=70),"Good",AND(data[[#This Row],[session_kdr]]&gt;=1.2,data[[#This Row],[session_hs_pct]]&gt;=50),"Average",TRUE,"Poor")</f>
        <v>Average</v>
      </c>
      <c r="W105">
        <f>IF(data[[#This Row],[session_quality]]="Poor", 1,0)</f>
        <v>0</v>
      </c>
    </row>
    <row r="106" spans="1:23" x14ac:dyDescent="0.25">
      <c r="A106">
        <v>107</v>
      </c>
      <c r="B106" s="1">
        <v>46298.921851851854</v>
      </c>
      <c r="C106" s="1">
        <v>46298.925879629627</v>
      </c>
      <c r="D106">
        <v>1</v>
      </c>
      <c r="E106">
        <v>1</v>
      </c>
      <c r="F106">
        <v>4</v>
      </c>
      <c r="G106">
        <v>5.8</v>
      </c>
      <c r="H106">
        <v>0</v>
      </c>
      <c r="I106">
        <f>YEAR(data[[#This Row],[session_start]])</f>
        <v>2026</v>
      </c>
      <c r="J106">
        <f>MONTH(data[[#This Row],[session_start]])</f>
        <v>10</v>
      </c>
      <c r="K106" t="str">
        <f>TEXT(data[[#This Row],[session_start]], "mmmm")</f>
        <v>October</v>
      </c>
      <c r="L106">
        <f>WEEKNUM(data[[#This Row],[session_start]])</f>
        <v>40</v>
      </c>
      <c r="M106">
        <f>WEEKDAY(data[[#This Row],[session_start]],2)</f>
        <v>6</v>
      </c>
      <c r="N106" t="str">
        <f>TEXT(data[[#This Row],[session_start]],"dddd")</f>
        <v>Saturday</v>
      </c>
      <c r="O106">
        <f>IF(data[[#This Row],[day_of_week]]&gt;5,1,0)</f>
        <v>1</v>
      </c>
      <c r="P106">
        <f>HOUR(data[[#This Row],[session_start]])</f>
        <v>22</v>
      </c>
      <c r="Q106" t="str" cm="1">
        <f t="array" ref="Q106">_xlfn.SWITCH(TRUE, AND(data[[#This Row],[hour]]&gt;=6, data[[#This Row],[hour]]&lt;=11), "Morning", AND(data[[#This Row],[hour]]&gt;=12, data[[#This Row],[hour]]&lt;=17), "Afternoon", AND(data[[#This Row],[hour]]&gt;=18, data[[#This Row],[hour]]&lt;=23), "Evening", TRUE, "Night")</f>
        <v>Evening</v>
      </c>
      <c r="R106" t="str" cm="1">
        <f t="array" ref="R106">_xlfn.IFS(data[[#This Row],[session_duration_min]]&lt;=15, "Short", data[[#This Row],[session_duration_min]]&lt;=45, "Medium",  TRUE, "Long")</f>
        <v>Short</v>
      </c>
      <c r="S106">
        <f>IFERROR( ROUND(data[[#This Row],[kills]]/data[[#This Row],[deaths]],2), 0)</f>
        <v>0.25</v>
      </c>
      <c r="T106">
        <f>IFERROR( ROUND(data[[#This Row],[headshots]]/data[[#This Row],[kills]]*100,2),0)</f>
        <v>100</v>
      </c>
      <c r="U106">
        <f>ROUND(data[[#This Row],[kills]]/data[[#This Row],[session_duration_min]],2)</f>
        <v>0.17</v>
      </c>
      <c r="V106" t="str" cm="1">
        <f t="array" ref="V106">_xlfn.SWITCH(TRUE,AND(data[[#This Row],[session_kdr]]&gt;=1.8,data[[#This Row],[session_hs_pct]]&gt;=70),"Good",AND(data[[#This Row],[session_kdr]]&gt;=1.2,data[[#This Row],[session_hs_pct]]&gt;=50),"Average",TRUE,"Poor")</f>
        <v>Poor</v>
      </c>
      <c r="W106">
        <f>IF(data[[#This Row],[session_quality]]="Poor", 1,0)</f>
        <v>1</v>
      </c>
    </row>
    <row r="107" spans="1:23" x14ac:dyDescent="0.25">
      <c r="A107">
        <v>108</v>
      </c>
      <c r="B107" s="1">
        <v>46298.970868055556</v>
      </c>
      <c r="C107" s="1">
        <v>46298.977013888885</v>
      </c>
      <c r="D107">
        <v>9</v>
      </c>
      <c r="E107">
        <v>11</v>
      </c>
      <c r="F107">
        <v>6</v>
      </c>
      <c r="G107">
        <v>8.85</v>
      </c>
      <c r="H107">
        <v>0</v>
      </c>
      <c r="I107">
        <f>YEAR(data[[#This Row],[session_start]])</f>
        <v>2026</v>
      </c>
      <c r="J107">
        <f>MONTH(data[[#This Row],[session_start]])</f>
        <v>10</v>
      </c>
      <c r="K107" t="str">
        <f>TEXT(data[[#This Row],[session_start]], "mmmm")</f>
        <v>October</v>
      </c>
      <c r="L107">
        <f>WEEKNUM(data[[#This Row],[session_start]])</f>
        <v>40</v>
      </c>
      <c r="M107">
        <f>WEEKDAY(data[[#This Row],[session_start]],2)</f>
        <v>6</v>
      </c>
      <c r="N107" t="str">
        <f>TEXT(data[[#This Row],[session_start]],"dddd")</f>
        <v>Saturday</v>
      </c>
      <c r="O107">
        <f>IF(data[[#This Row],[day_of_week]]&gt;5,1,0)</f>
        <v>1</v>
      </c>
      <c r="P107">
        <f>HOUR(data[[#This Row],[session_start]])</f>
        <v>23</v>
      </c>
      <c r="Q107" t="str" cm="1">
        <f t="array" ref="Q107">_xlfn.SWITCH(TRUE, AND(data[[#This Row],[hour]]&gt;=6, data[[#This Row],[hour]]&lt;=11), "Morning", AND(data[[#This Row],[hour]]&gt;=12, data[[#This Row],[hour]]&lt;=17), "Afternoon", AND(data[[#This Row],[hour]]&gt;=18, data[[#This Row],[hour]]&lt;=23), "Evening", TRUE, "Night")</f>
        <v>Evening</v>
      </c>
      <c r="R107" t="str" cm="1">
        <f t="array" ref="R107">_xlfn.IFS(data[[#This Row],[session_duration_min]]&lt;=15, "Short", data[[#This Row],[session_duration_min]]&lt;=45, "Medium",  TRUE, "Long")</f>
        <v>Short</v>
      </c>
      <c r="S107">
        <f>IFERROR( ROUND(data[[#This Row],[kills]]/data[[#This Row],[deaths]],2), 0)</f>
        <v>1.83</v>
      </c>
      <c r="T107">
        <f>IFERROR( ROUND(data[[#This Row],[headshots]]/data[[#This Row],[kills]]*100,2),0)</f>
        <v>81.819999999999993</v>
      </c>
      <c r="U107">
        <f>ROUND(data[[#This Row],[kills]]/data[[#This Row],[session_duration_min]],2)</f>
        <v>1.24</v>
      </c>
      <c r="V107" t="str" cm="1">
        <f t="array" ref="V107">_xlfn.SWITCH(TRUE,AND(data[[#This Row],[session_kdr]]&gt;=1.8,data[[#This Row],[session_hs_pct]]&gt;=70),"Good",AND(data[[#This Row],[session_kdr]]&gt;=1.2,data[[#This Row],[session_hs_pct]]&gt;=50),"Average",TRUE,"Poor")</f>
        <v>Good</v>
      </c>
      <c r="W107">
        <f>IF(data[[#This Row],[session_quality]]="Poor", 1,0)</f>
        <v>0</v>
      </c>
    </row>
    <row r="108" spans="1:23" x14ac:dyDescent="0.25">
      <c r="A108">
        <v>109</v>
      </c>
      <c r="B108" s="1">
        <v>46299.825011574074</v>
      </c>
      <c r="C108" s="1">
        <v>46299.841574074075</v>
      </c>
      <c r="D108">
        <v>27</v>
      </c>
      <c r="E108">
        <v>29</v>
      </c>
      <c r="F108">
        <v>20</v>
      </c>
      <c r="G108">
        <v>23.85</v>
      </c>
      <c r="H108">
        <v>0</v>
      </c>
      <c r="I108">
        <f>YEAR(data[[#This Row],[session_start]])</f>
        <v>2026</v>
      </c>
      <c r="J108">
        <f>MONTH(data[[#This Row],[session_start]])</f>
        <v>10</v>
      </c>
      <c r="K108" t="str">
        <f>TEXT(data[[#This Row],[session_start]], "mmmm")</f>
        <v>October</v>
      </c>
      <c r="L108">
        <f>WEEKNUM(data[[#This Row],[session_start]])</f>
        <v>41</v>
      </c>
      <c r="M108">
        <f>WEEKDAY(data[[#This Row],[session_start]],2)</f>
        <v>7</v>
      </c>
      <c r="N108" t="str">
        <f>TEXT(data[[#This Row],[session_start]],"dddd")</f>
        <v>Sunday</v>
      </c>
      <c r="O108">
        <f>IF(data[[#This Row],[day_of_week]]&gt;5,1,0)</f>
        <v>1</v>
      </c>
      <c r="P108">
        <f>HOUR(data[[#This Row],[session_start]])</f>
        <v>19</v>
      </c>
      <c r="Q108" t="str" cm="1">
        <f t="array" ref="Q108">_xlfn.SWITCH(TRUE, AND(data[[#This Row],[hour]]&gt;=6, data[[#This Row],[hour]]&lt;=11), "Morning", AND(data[[#This Row],[hour]]&gt;=12, data[[#This Row],[hour]]&lt;=17), "Afternoon", AND(data[[#This Row],[hour]]&gt;=18, data[[#This Row],[hour]]&lt;=23), "Evening", TRUE, "Night")</f>
        <v>Evening</v>
      </c>
      <c r="R108" t="str" cm="1">
        <f t="array" ref="R108">_xlfn.IFS(data[[#This Row],[session_duration_min]]&lt;=15, "Short", data[[#This Row],[session_duration_min]]&lt;=45, "Medium",  TRUE, "Long")</f>
        <v>Medium</v>
      </c>
      <c r="S108">
        <f>IFERROR( ROUND(data[[#This Row],[kills]]/data[[#This Row],[deaths]],2), 0)</f>
        <v>1.45</v>
      </c>
      <c r="T108">
        <f>IFERROR( ROUND(data[[#This Row],[headshots]]/data[[#This Row],[kills]]*100,2),0)</f>
        <v>93.1</v>
      </c>
      <c r="U108">
        <f>ROUND(data[[#This Row],[kills]]/data[[#This Row],[session_duration_min]],2)</f>
        <v>1.22</v>
      </c>
      <c r="V108" t="str" cm="1">
        <f t="array" ref="V108">_xlfn.SWITCH(TRUE,AND(data[[#This Row],[session_kdr]]&gt;=1.8,data[[#This Row],[session_hs_pct]]&gt;=70),"Good",AND(data[[#This Row],[session_kdr]]&gt;=1.2,data[[#This Row],[session_hs_pct]]&gt;=50),"Average",TRUE,"Poor")</f>
        <v>Average</v>
      </c>
      <c r="W108">
        <f>IF(data[[#This Row],[session_quality]]="Poor", 1,0)</f>
        <v>0</v>
      </c>
    </row>
    <row r="109" spans="1:23" x14ac:dyDescent="0.25">
      <c r="A109">
        <v>110</v>
      </c>
      <c r="B109" s="1">
        <v>46299.882141203707</v>
      </c>
      <c r="C109" s="1">
        <v>46299.892442129632</v>
      </c>
      <c r="D109">
        <v>16</v>
      </c>
      <c r="E109">
        <v>18</v>
      </c>
      <c r="F109">
        <v>10</v>
      </c>
      <c r="G109">
        <v>14.833333333333334</v>
      </c>
      <c r="H109">
        <v>0</v>
      </c>
      <c r="I109">
        <f>YEAR(data[[#This Row],[session_start]])</f>
        <v>2026</v>
      </c>
      <c r="J109">
        <f>MONTH(data[[#This Row],[session_start]])</f>
        <v>10</v>
      </c>
      <c r="K109" t="str">
        <f>TEXT(data[[#This Row],[session_start]], "mmmm")</f>
        <v>October</v>
      </c>
      <c r="L109">
        <f>WEEKNUM(data[[#This Row],[session_start]])</f>
        <v>41</v>
      </c>
      <c r="M109">
        <f>WEEKDAY(data[[#This Row],[session_start]],2)</f>
        <v>7</v>
      </c>
      <c r="N109" t="str">
        <f>TEXT(data[[#This Row],[session_start]],"dddd")</f>
        <v>Sunday</v>
      </c>
      <c r="O109">
        <f>IF(data[[#This Row],[day_of_week]]&gt;5,1,0)</f>
        <v>1</v>
      </c>
      <c r="P109">
        <f>HOUR(data[[#This Row],[session_start]])</f>
        <v>21</v>
      </c>
      <c r="Q109" t="str" cm="1">
        <f t="array" ref="Q109">_xlfn.SWITCH(TRUE, AND(data[[#This Row],[hour]]&gt;=6, data[[#This Row],[hour]]&lt;=11), "Morning", AND(data[[#This Row],[hour]]&gt;=12, data[[#This Row],[hour]]&lt;=17), "Afternoon", AND(data[[#This Row],[hour]]&gt;=18, data[[#This Row],[hour]]&lt;=23), "Evening", TRUE, "Night")</f>
        <v>Evening</v>
      </c>
      <c r="R109" t="str" cm="1">
        <f t="array" ref="R109">_xlfn.IFS(data[[#This Row],[session_duration_min]]&lt;=15, "Short", data[[#This Row],[session_duration_min]]&lt;=45, "Medium",  TRUE, "Long")</f>
        <v>Short</v>
      </c>
      <c r="S109">
        <f>IFERROR( ROUND(data[[#This Row],[kills]]/data[[#This Row],[deaths]],2), 0)</f>
        <v>1.8</v>
      </c>
      <c r="T109">
        <f>IFERROR( ROUND(data[[#This Row],[headshots]]/data[[#This Row],[kills]]*100,2),0)</f>
        <v>88.89</v>
      </c>
      <c r="U109">
        <f>ROUND(data[[#This Row],[kills]]/data[[#This Row],[session_duration_min]],2)</f>
        <v>1.21</v>
      </c>
      <c r="V109" t="str" cm="1">
        <f t="array" ref="V109">_xlfn.SWITCH(TRUE,AND(data[[#This Row],[session_kdr]]&gt;=1.8,data[[#This Row],[session_hs_pct]]&gt;=70),"Good",AND(data[[#This Row],[session_kdr]]&gt;=1.2,data[[#This Row],[session_hs_pct]]&gt;=50),"Average",TRUE,"Poor")</f>
        <v>Good</v>
      </c>
      <c r="W109">
        <f>IF(data[[#This Row],[session_quality]]="Poor", 1,0)</f>
        <v>0</v>
      </c>
    </row>
    <row r="110" spans="1:23" x14ac:dyDescent="0.25">
      <c r="A110">
        <v>111</v>
      </c>
      <c r="B110" s="1">
        <v>46311.928587962961</v>
      </c>
      <c r="C110" s="1">
        <v>46311.93068287037</v>
      </c>
      <c r="D110">
        <v>0</v>
      </c>
      <c r="E110">
        <v>2</v>
      </c>
      <c r="F110">
        <v>3</v>
      </c>
      <c r="G110">
        <v>3.0166666666666666</v>
      </c>
      <c r="H110">
        <v>0</v>
      </c>
      <c r="I110">
        <f>YEAR(data[[#This Row],[session_start]])</f>
        <v>2026</v>
      </c>
      <c r="J110">
        <f>MONTH(data[[#This Row],[session_start]])</f>
        <v>10</v>
      </c>
      <c r="K110" t="str">
        <f>TEXT(data[[#This Row],[session_start]], "mmmm")</f>
        <v>October</v>
      </c>
      <c r="L110">
        <f>WEEKNUM(data[[#This Row],[session_start]])</f>
        <v>42</v>
      </c>
      <c r="M110">
        <f>WEEKDAY(data[[#This Row],[session_start]],2)</f>
        <v>5</v>
      </c>
      <c r="N110" t="str">
        <f>TEXT(data[[#This Row],[session_start]],"dddd")</f>
        <v>Friday</v>
      </c>
      <c r="O110">
        <f>IF(data[[#This Row],[day_of_week]]&gt;5,1,0)</f>
        <v>0</v>
      </c>
      <c r="P110">
        <f>HOUR(data[[#This Row],[session_start]])</f>
        <v>22</v>
      </c>
      <c r="Q110" t="str" cm="1">
        <f t="array" ref="Q110">_xlfn.SWITCH(TRUE, AND(data[[#This Row],[hour]]&gt;=6, data[[#This Row],[hour]]&lt;=11), "Morning", AND(data[[#This Row],[hour]]&gt;=12, data[[#This Row],[hour]]&lt;=17), "Afternoon", AND(data[[#This Row],[hour]]&gt;=18, data[[#This Row],[hour]]&lt;=23), "Evening", TRUE, "Night")</f>
        <v>Evening</v>
      </c>
      <c r="R110" t="str" cm="1">
        <f t="array" ref="R110">_xlfn.IFS(data[[#This Row],[session_duration_min]]&lt;=15, "Short", data[[#This Row],[session_duration_min]]&lt;=45, "Medium",  TRUE, "Long")</f>
        <v>Short</v>
      </c>
      <c r="S110">
        <f>IFERROR( ROUND(data[[#This Row],[kills]]/data[[#This Row],[deaths]],2), 0)</f>
        <v>0.67</v>
      </c>
      <c r="T110">
        <f>IFERROR( ROUND(data[[#This Row],[headshots]]/data[[#This Row],[kills]]*100,2),0)</f>
        <v>0</v>
      </c>
      <c r="U110">
        <f>ROUND(data[[#This Row],[kills]]/data[[#This Row],[session_duration_min]],2)</f>
        <v>0.66</v>
      </c>
      <c r="V110" t="str" cm="1">
        <f t="array" ref="V110">_xlfn.SWITCH(TRUE,AND(data[[#This Row],[session_kdr]]&gt;=1.8,data[[#This Row],[session_hs_pct]]&gt;=70),"Good",AND(data[[#This Row],[session_kdr]]&gt;=1.2,data[[#This Row],[session_hs_pct]]&gt;=50),"Average",TRUE,"Poor")</f>
        <v>Poor</v>
      </c>
      <c r="W110">
        <f>IF(data[[#This Row],[session_quality]]="Poor", 1,0)</f>
        <v>1</v>
      </c>
    </row>
    <row r="111" spans="1:23" x14ac:dyDescent="0.25">
      <c r="A111">
        <v>112</v>
      </c>
      <c r="B111" s="1">
        <v>46311.98196759259</v>
      </c>
      <c r="C111" s="1">
        <v>46311.986886574072</v>
      </c>
      <c r="D111">
        <v>8</v>
      </c>
      <c r="E111">
        <v>12</v>
      </c>
      <c r="F111">
        <v>6</v>
      </c>
      <c r="G111">
        <v>7.083333333333333</v>
      </c>
      <c r="H111">
        <v>0</v>
      </c>
      <c r="I111">
        <f>YEAR(data[[#This Row],[session_start]])</f>
        <v>2026</v>
      </c>
      <c r="J111">
        <f>MONTH(data[[#This Row],[session_start]])</f>
        <v>10</v>
      </c>
      <c r="K111" t="str">
        <f>TEXT(data[[#This Row],[session_start]], "mmmm")</f>
        <v>October</v>
      </c>
      <c r="L111">
        <f>WEEKNUM(data[[#This Row],[session_start]])</f>
        <v>42</v>
      </c>
      <c r="M111">
        <f>WEEKDAY(data[[#This Row],[session_start]],2)</f>
        <v>5</v>
      </c>
      <c r="N111" t="str">
        <f>TEXT(data[[#This Row],[session_start]],"dddd")</f>
        <v>Friday</v>
      </c>
      <c r="O111">
        <f>IF(data[[#This Row],[day_of_week]]&gt;5,1,0)</f>
        <v>0</v>
      </c>
      <c r="P111">
        <f>HOUR(data[[#This Row],[session_start]])</f>
        <v>23</v>
      </c>
      <c r="Q111" t="str" cm="1">
        <f t="array" ref="Q111">_xlfn.SWITCH(TRUE, AND(data[[#This Row],[hour]]&gt;=6, data[[#This Row],[hour]]&lt;=11), "Morning", AND(data[[#This Row],[hour]]&gt;=12, data[[#This Row],[hour]]&lt;=17), "Afternoon", AND(data[[#This Row],[hour]]&gt;=18, data[[#This Row],[hour]]&lt;=23), "Evening", TRUE, "Night")</f>
        <v>Evening</v>
      </c>
      <c r="R111" t="str" cm="1">
        <f t="array" ref="R111">_xlfn.IFS(data[[#This Row],[session_duration_min]]&lt;=15, "Short", data[[#This Row],[session_duration_min]]&lt;=45, "Medium",  TRUE, "Long")</f>
        <v>Short</v>
      </c>
      <c r="S111">
        <f>IFERROR( ROUND(data[[#This Row],[kills]]/data[[#This Row],[deaths]],2), 0)</f>
        <v>2</v>
      </c>
      <c r="T111">
        <f>IFERROR( ROUND(data[[#This Row],[headshots]]/data[[#This Row],[kills]]*100,2),0)</f>
        <v>66.67</v>
      </c>
      <c r="U111">
        <f>ROUND(data[[#This Row],[kills]]/data[[#This Row],[session_duration_min]],2)</f>
        <v>1.69</v>
      </c>
      <c r="V111" t="str" cm="1">
        <f t="array" ref="V111">_xlfn.SWITCH(TRUE,AND(data[[#This Row],[session_kdr]]&gt;=1.8,data[[#This Row],[session_hs_pct]]&gt;=70),"Good",AND(data[[#This Row],[session_kdr]]&gt;=1.2,data[[#This Row],[session_hs_pct]]&gt;=50),"Average",TRUE,"Poor")</f>
        <v>Average</v>
      </c>
      <c r="W111">
        <f>IF(data[[#This Row],[session_quality]]="Poor", 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1EAD-4191-442B-8A33-A3074826A4A0}">
  <sheetPr>
    <pageSetUpPr fitToPage="1"/>
  </sheetPr>
  <dimension ref="A2:AB149"/>
  <sheetViews>
    <sheetView tabSelected="1" topLeftCell="A34" zoomScaleNormal="100" workbookViewId="0">
      <selection activeCell="H45" sqref="H45"/>
    </sheetView>
  </sheetViews>
  <sheetFormatPr defaultRowHeight="15" x14ac:dyDescent="0.25"/>
  <cols>
    <col min="1" max="1" width="9.140625" style="47"/>
    <col min="2" max="2" width="20" bestFit="1" customWidth="1"/>
    <col min="3" max="3" width="10.85546875" customWidth="1"/>
    <col min="4" max="4" width="9.5703125" bestFit="1" customWidth="1"/>
    <col min="5" max="5" width="9.140625" customWidth="1"/>
    <col min="6" max="6" width="12.140625" customWidth="1"/>
    <col min="7" max="7" width="10.28515625" customWidth="1"/>
    <col min="8" max="8" width="9.42578125" customWidth="1"/>
    <col min="9" max="9" width="9.7109375" customWidth="1"/>
    <col min="10" max="10" width="12.85546875" customWidth="1"/>
    <col min="11" max="11" width="14.42578125" customWidth="1"/>
    <col min="12" max="12" width="7.85546875" customWidth="1"/>
    <col min="13" max="13" width="14" bestFit="1" customWidth="1"/>
    <col min="14" max="14" width="11.28515625" customWidth="1"/>
    <col min="15" max="15" width="13.140625" customWidth="1"/>
    <col min="16" max="16" width="13.85546875" bestFit="1" customWidth="1"/>
    <col min="17" max="17" width="8.140625" bestFit="1" customWidth="1"/>
    <col min="18" max="18" width="9.140625" customWidth="1"/>
    <col min="25" max="25" width="9.140625" customWidth="1"/>
  </cols>
  <sheetData>
    <row r="2" spans="2:17" ht="18.75" x14ac:dyDescent="0.25">
      <c r="B2" s="27" t="s">
        <v>31</v>
      </c>
    </row>
    <row r="3" spans="2:17" x14ac:dyDescent="0.25">
      <c r="B3" s="35"/>
      <c r="C3" s="36" cm="1">
        <f t="array" ref="C3:D3">TRANSPOSE( _xlfn.UNIQUE(data[year]) )</f>
        <v>2025</v>
      </c>
      <c r="D3" s="36">
        <v>2026</v>
      </c>
      <c r="E3" s="37" t="s">
        <v>27</v>
      </c>
      <c r="G3" s="38"/>
      <c r="H3" s="36" t="str" cm="1">
        <f t="array" ref="H3:J3">TRANSPOSE( _xlfn.SORTBY(_xlfn.UNIQUE(data[duration_category]), MATCH(_xlfn.UNIQUE(data[duration_category]), {"Short","Medium","Long"},0)) )</f>
        <v>Short</v>
      </c>
      <c r="I3" s="36" t="str">
        <v>Medium</v>
      </c>
      <c r="J3" s="36" t="str">
        <v>Long</v>
      </c>
      <c r="K3" s="37" t="s">
        <v>27</v>
      </c>
      <c r="M3" s="38"/>
      <c r="N3" s="36" t="str" cm="1">
        <f t="array" ref="N3:P3">TRANSPOSE( _xlfn.SORTBY(_xlfn.UNIQUE(data[duration_category]), MATCH(_xlfn.UNIQUE(data[duration_category]), {"Short","Medium","Long"},0)) )</f>
        <v>Short</v>
      </c>
      <c r="O3" s="36" t="str">
        <v>Medium</v>
      </c>
      <c r="P3" s="36" t="str">
        <v>Long</v>
      </c>
      <c r="Q3" s="37" t="s">
        <v>27</v>
      </c>
    </row>
    <row r="4" spans="2:17" x14ac:dyDescent="0.25">
      <c r="B4" s="9" t="s">
        <v>21</v>
      </c>
      <c r="C4" cm="1">
        <f t="array" ref="C4:D4">COUNTIFS(data[year],_xlfn.ANCHORARRAY( C3))</f>
        <v>44</v>
      </c>
      <c r="D4">
        <v>66</v>
      </c>
      <c r="E4" s="10">
        <f>COUNT(data[session_id])</f>
        <v>110</v>
      </c>
      <c r="G4" s="39" t="str" cm="1">
        <f t="array" ref="G4:G6">_xlfn.SORTBY(_xlfn.UNIQUE(data[session_quality]),MATCH(_xlfn.UNIQUE(data[session_quality]),{"Good","Average","Poor"},0))</f>
        <v>Good</v>
      </c>
      <c r="H4" cm="1">
        <f t="array" ref="H4:J6">COUNTIFS(data[session_quality],_xlfn.ANCHORARRAY(G4), data[duration_category],_xlfn.ANCHORARRAY(H3))</f>
        <v>11</v>
      </c>
      <c r="I4">
        <v>9</v>
      </c>
      <c r="J4">
        <v>4</v>
      </c>
      <c r="K4" s="10">
        <f>SUM(H4:J4)</f>
        <v>24</v>
      </c>
      <c r="M4" s="39" t="str" cm="1">
        <f t="array" ref="M4:M6">_xlfn.SORTBY(_xlfn.UNIQUE(data[session_quality]),MATCH(_xlfn.UNIQUE(data[session_quality]),{"Good","Average","Poor"},0))</f>
        <v>Good</v>
      </c>
      <c r="N4" s="3" cm="1">
        <f t="array" ref="N4:P6">COUNTIFS(data[duration_category],_xlfn.ANCHORARRAY(N3), data[session_quality],_xlfn.ANCHORARRAY( M4)) / COUNTIFS(data[duration_category],_xlfn.ANCHORARRAY(N3))</f>
        <v>0.21568627450980393</v>
      </c>
      <c r="O4" s="3">
        <v>0.23076923076923078</v>
      </c>
      <c r="P4" s="3">
        <v>0.2</v>
      </c>
      <c r="Q4" s="12" cm="1">
        <f t="array" ref="Q4:Q6">COUNTIFS(data[session_quality],_xlfn.ANCHORARRAY(M4)) / COUNT(data[session_id])</f>
        <v>0.21818181818181817</v>
      </c>
    </row>
    <row r="5" spans="2:17" x14ac:dyDescent="0.25">
      <c r="B5" s="9" t="s">
        <v>22</v>
      </c>
      <c r="C5" cm="1">
        <f t="array" ref="C5:D5">ROUND( SUMIFS(data[kills], data[year],_xlfn.ANCHORARRAY( $C$3)) / SUMIFS(data[deaths], data[year],_xlfn.ANCHORARRAY( $C$3)), 2 )</f>
        <v>1.56</v>
      </c>
      <c r="D5">
        <v>1.46</v>
      </c>
      <c r="E5" s="11">
        <f>ROUND( SUM(data[kills]) / SUM(data[deaths]), 2)</f>
        <v>1.5</v>
      </c>
      <c r="G5" s="39" t="str">
        <v>Average</v>
      </c>
      <c r="H5">
        <v>10</v>
      </c>
      <c r="I5">
        <v>21</v>
      </c>
      <c r="J5">
        <v>13</v>
      </c>
      <c r="K5" s="10">
        <f t="shared" ref="K5:K6" si="0">SUM(H5:J5)</f>
        <v>44</v>
      </c>
      <c r="M5" s="39" t="str">
        <v>Average</v>
      </c>
      <c r="N5" s="3">
        <v>0.19607843137254902</v>
      </c>
      <c r="O5" s="3">
        <v>0.53846153846153844</v>
      </c>
      <c r="P5" s="3">
        <v>0.65</v>
      </c>
      <c r="Q5" s="12">
        <v>0.4</v>
      </c>
    </row>
    <row r="6" spans="2:17" x14ac:dyDescent="0.25">
      <c r="B6" s="9" t="s">
        <v>23</v>
      </c>
      <c r="C6" s="3" cm="1">
        <f t="array" ref="C6:D6">SUMIFS(data[headshots], data[year],_xlfn.ANCHORARRAY( $C$3)) / SUMIFS(data[kills], data[year],_xlfn.ANCHORARRAY( $C$3))</f>
        <v>0.76169906407487398</v>
      </c>
      <c r="D6" s="3">
        <v>0.77811550151975684</v>
      </c>
      <c r="E6" s="12">
        <f>SUM(data[headshots]) / SUM(data[kills])</f>
        <v>0.7705998681608438</v>
      </c>
      <c r="G6" s="39" t="str">
        <v>Poor</v>
      </c>
      <c r="H6">
        <v>30</v>
      </c>
      <c r="I6">
        <v>9</v>
      </c>
      <c r="J6">
        <v>3</v>
      </c>
      <c r="K6" s="10">
        <f t="shared" si="0"/>
        <v>42</v>
      </c>
      <c r="M6" s="39" t="str">
        <v>Poor</v>
      </c>
      <c r="N6" s="3">
        <v>0.58823529411764708</v>
      </c>
      <c r="O6" s="3">
        <v>0.23076923076923078</v>
      </c>
      <c r="P6" s="3">
        <v>0.15</v>
      </c>
      <c r="Q6" s="12">
        <v>0.38181818181818183</v>
      </c>
    </row>
    <row r="7" spans="2:17" x14ac:dyDescent="0.25">
      <c r="B7" s="9" t="s">
        <v>24</v>
      </c>
      <c r="C7" cm="1">
        <f t="array" ref="C7:D7">ROUND( SUMIFS(data[kills], data[year],_xlfn.ANCHORARRAY( $C$3)) / SUMIFS(data[session_duration_min], data[year],_xlfn.ANCHORARRAY( $C$3)), 2 )</f>
        <v>1.2</v>
      </c>
      <c r="D7">
        <v>1.1399999999999999</v>
      </c>
      <c r="E7" s="10">
        <f>ROUND( SUM(data[kills]) / SUM(data[session_duration_min]), 2)</f>
        <v>1.17</v>
      </c>
      <c r="G7" s="40" t="s">
        <v>27</v>
      </c>
      <c r="H7" s="16">
        <f>SUM(H4:H6)</f>
        <v>51</v>
      </c>
      <c r="I7" s="16">
        <f t="shared" ref="I7:J7" si="1">SUM(I4:I6)</f>
        <v>39</v>
      </c>
      <c r="J7" s="16">
        <f t="shared" si="1"/>
        <v>20</v>
      </c>
      <c r="K7" s="17">
        <f>COUNT(data[session_id])</f>
        <v>110</v>
      </c>
      <c r="M7" s="40" t="s">
        <v>27</v>
      </c>
      <c r="N7" s="14">
        <v>1</v>
      </c>
      <c r="O7" s="14">
        <v>1</v>
      </c>
      <c r="P7" s="14">
        <v>1</v>
      </c>
      <c r="Q7" s="15">
        <v>1</v>
      </c>
    </row>
    <row r="8" spans="2:17" x14ac:dyDescent="0.25">
      <c r="B8" s="9" t="s">
        <v>25</v>
      </c>
      <c r="C8" cm="1">
        <f t="array" ref="C8:D8">ROUND( SUMIFS(data[session_duration_min], data[year],_xlfn.ANCHORARRAY( $C$3)) / 60, 2 )</f>
        <v>19.3</v>
      </c>
      <c r="D8">
        <v>24.04</v>
      </c>
      <c r="E8" s="10">
        <f>ROUND( SUM(data[session_duration_min]) / 60, 2)</f>
        <v>43.34</v>
      </c>
      <c r="G8" s="28" t="s">
        <v>39</v>
      </c>
    </row>
    <row r="9" spans="2:17" x14ac:dyDescent="0.25">
      <c r="B9" s="9" t="s">
        <v>26</v>
      </c>
      <c r="C9" cm="1">
        <f t="array" ref="C9:D9">ROUND( AVERAGEIFS(data[session_duration_min], data[year],_xlfn.ANCHORARRAY( $C$3)), 2)</f>
        <v>26.32</v>
      </c>
      <c r="D9">
        <v>21.86</v>
      </c>
      <c r="E9" s="10">
        <f>ROUND( AVERAGE(data[session_duration_min]), 2)</f>
        <v>23.64</v>
      </c>
      <c r="G9" s="28"/>
    </row>
    <row r="10" spans="2:17" x14ac:dyDescent="0.25">
      <c r="B10" s="13" t="s">
        <v>28</v>
      </c>
      <c r="C10" s="14" cm="1">
        <f t="array" ref="C10:D10">COUNTIFS(data[year],_xlfn.ANCHORARRAY( $C$3), data[session_quality], "Good") / COUNTIFS(data[year],_xlfn.ANCHORARRAY( $C$3))</f>
        <v>0.29545454545454547</v>
      </c>
      <c r="D10" s="14">
        <v>0.16666666666666666</v>
      </c>
      <c r="E10" s="15">
        <f>COUNTIFS(data[session_quality], "Good") / COUNT( data[session_id])</f>
        <v>0.21818181818181817</v>
      </c>
      <c r="F10" t="s">
        <v>29</v>
      </c>
    </row>
    <row r="11" spans="2:17" x14ac:dyDescent="0.25">
      <c r="B11" s="2"/>
      <c r="C11" s="3"/>
      <c r="D11" s="3"/>
      <c r="E11" s="3"/>
    </row>
    <row r="13" spans="2:17" ht="18.75" x14ac:dyDescent="0.25">
      <c r="B13" s="27" t="s">
        <v>32</v>
      </c>
    </row>
    <row r="46" spans="2:26" ht="18.75" x14ac:dyDescent="0.25">
      <c r="B46" s="27" t="s">
        <v>33</v>
      </c>
    </row>
    <row r="47" spans="2:26" x14ac:dyDescent="0.25">
      <c r="B47" s="28" t="s">
        <v>40</v>
      </c>
    </row>
    <row r="48" spans="2:26" x14ac:dyDescent="0.25">
      <c r="B48" s="38"/>
      <c r="C48" s="36" cm="1">
        <f t="array" ref="C48:Z48">_xlfn.SEQUENCE(1,24,0,1)</f>
        <v>0</v>
      </c>
      <c r="D48" s="36">
        <v>1</v>
      </c>
      <c r="E48" s="36">
        <v>2</v>
      </c>
      <c r="F48" s="36">
        <v>3</v>
      </c>
      <c r="G48" s="36">
        <v>4</v>
      </c>
      <c r="H48" s="36">
        <v>5</v>
      </c>
      <c r="I48" s="36">
        <v>6</v>
      </c>
      <c r="J48" s="36">
        <v>7</v>
      </c>
      <c r="K48" s="36">
        <v>8</v>
      </c>
      <c r="L48" s="36">
        <v>9</v>
      </c>
      <c r="M48" s="36">
        <v>10</v>
      </c>
      <c r="N48" s="36">
        <v>11</v>
      </c>
      <c r="O48" s="36">
        <v>12</v>
      </c>
      <c r="P48" s="36">
        <v>13</v>
      </c>
      <c r="Q48" s="36">
        <v>14</v>
      </c>
      <c r="R48" s="36">
        <v>15</v>
      </c>
      <c r="S48" s="36">
        <v>16</v>
      </c>
      <c r="T48" s="36">
        <v>17</v>
      </c>
      <c r="U48" s="36">
        <v>18</v>
      </c>
      <c r="V48" s="36">
        <v>19</v>
      </c>
      <c r="W48" s="36">
        <v>20</v>
      </c>
      <c r="X48" s="36">
        <v>21</v>
      </c>
      <c r="Y48" s="36">
        <v>22</v>
      </c>
      <c r="Z48" s="37">
        <v>23</v>
      </c>
    </row>
    <row r="49" spans="2:28" x14ac:dyDescent="0.25">
      <c r="B49" s="39" t="str" cm="1">
        <f t="array" ref="B49:B55">_xlfn.SORTBY(_xlfn.UNIQUE(data[day_of_week_name]), _xlfn.UNIQUE(data[day_of_week]))</f>
        <v>Monday</v>
      </c>
      <c r="C49" s="18" cm="1">
        <f t="array" ref="C49:Z55">COUNTIFS(data[day_of_week_name],_xlfn.ANCHORARRAY(B49),data[hour],_xlfn.ANCHORARRAY(C48))</f>
        <v>0</v>
      </c>
      <c r="D49" s="19">
        <v>0</v>
      </c>
      <c r="E49" s="18">
        <v>0</v>
      </c>
      <c r="F49" s="18">
        <v>0</v>
      </c>
      <c r="G49" s="18">
        <v>0</v>
      </c>
      <c r="H49" s="18">
        <v>0</v>
      </c>
      <c r="I49" s="18">
        <v>0</v>
      </c>
      <c r="J49" s="18">
        <v>0</v>
      </c>
      <c r="K49" s="18">
        <v>1</v>
      </c>
      <c r="L49" s="18">
        <v>0</v>
      </c>
      <c r="M49" s="18">
        <v>0</v>
      </c>
      <c r="N49" s="18">
        <v>0</v>
      </c>
      <c r="O49" s="18">
        <v>0</v>
      </c>
      <c r="P49" s="18">
        <v>0</v>
      </c>
      <c r="Q49">
        <v>0</v>
      </c>
      <c r="R49">
        <v>0</v>
      </c>
      <c r="S49">
        <v>0</v>
      </c>
      <c r="T49">
        <v>0</v>
      </c>
      <c r="U49">
        <v>1</v>
      </c>
      <c r="V49">
        <v>0</v>
      </c>
      <c r="W49">
        <v>0</v>
      </c>
      <c r="X49">
        <v>0</v>
      </c>
      <c r="Y49">
        <v>1</v>
      </c>
      <c r="Z49" s="10">
        <v>2</v>
      </c>
    </row>
    <row r="50" spans="2:28" x14ac:dyDescent="0.25">
      <c r="B50" s="39" t="str">
        <v>Tuesday</v>
      </c>
      <c r="C50" s="18">
        <v>0</v>
      </c>
      <c r="D50" s="18">
        <v>1</v>
      </c>
      <c r="E50" s="18">
        <v>0</v>
      </c>
      <c r="F50" s="18">
        <v>0</v>
      </c>
      <c r="G50" s="18">
        <v>0</v>
      </c>
      <c r="H50" s="18">
        <v>0</v>
      </c>
      <c r="I50" s="18">
        <v>0</v>
      </c>
      <c r="J50" s="18">
        <v>0</v>
      </c>
      <c r="K50" s="18">
        <v>0</v>
      </c>
      <c r="L50" s="18">
        <v>0</v>
      </c>
      <c r="M50" s="18">
        <v>0</v>
      </c>
      <c r="N50" s="18">
        <v>0</v>
      </c>
      <c r="O50" s="18">
        <v>0</v>
      </c>
      <c r="P50" s="18">
        <v>0</v>
      </c>
      <c r="Q50">
        <v>0</v>
      </c>
      <c r="R50">
        <v>0</v>
      </c>
      <c r="S50">
        <v>0</v>
      </c>
      <c r="T50">
        <v>0</v>
      </c>
      <c r="U50">
        <v>1</v>
      </c>
      <c r="V50">
        <v>0</v>
      </c>
      <c r="W50">
        <v>0</v>
      </c>
      <c r="X50">
        <v>0</v>
      </c>
      <c r="Y50">
        <v>1</v>
      </c>
      <c r="Z50" s="10">
        <v>1</v>
      </c>
    </row>
    <row r="51" spans="2:28" x14ac:dyDescent="0.25">
      <c r="B51" s="39" t="str">
        <v>Wednesday</v>
      </c>
      <c r="C51" s="18">
        <v>0</v>
      </c>
      <c r="D51" s="18">
        <v>0</v>
      </c>
      <c r="E51" s="18">
        <v>0</v>
      </c>
      <c r="F51" s="18">
        <v>0</v>
      </c>
      <c r="G51" s="18">
        <v>0</v>
      </c>
      <c r="H51" s="18">
        <v>0</v>
      </c>
      <c r="I51" s="18">
        <v>0</v>
      </c>
      <c r="J51" s="18">
        <v>0</v>
      </c>
      <c r="K51" s="18">
        <v>0</v>
      </c>
      <c r="L51" s="18">
        <v>0</v>
      </c>
      <c r="M51" s="18">
        <v>0</v>
      </c>
      <c r="N51" s="18">
        <v>0</v>
      </c>
      <c r="O51" s="18">
        <v>0</v>
      </c>
      <c r="P51" s="18">
        <v>0</v>
      </c>
      <c r="Q51">
        <v>1</v>
      </c>
      <c r="R51">
        <v>1</v>
      </c>
      <c r="S51">
        <v>1</v>
      </c>
      <c r="T51">
        <v>0</v>
      </c>
      <c r="U51">
        <v>0</v>
      </c>
      <c r="V51">
        <v>0</v>
      </c>
      <c r="W51">
        <v>1</v>
      </c>
      <c r="X51">
        <v>4</v>
      </c>
      <c r="Y51">
        <v>0</v>
      </c>
      <c r="Z51" s="10">
        <v>0</v>
      </c>
      <c r="AB51" s="4"/>
    </row>
    <row r="52" spans="2:28" x14ac:dyDescent="0.25">
      <c r="B52" s="39" t="str">
        <v>Thursday</v>
      </c>
      <c r="C52" s="18">
        <v>0</v>
      </c>
      <c r="D52" s="18">
        <v>1</v>
      </c>
      <c r="E52" s="18">
        <v>0</v>
      </c>
      <c r="F52" s="18">
        <v>0</v>
      </c>
      <c r="G52" s="18">
        <v>0</v>
      </c>
      <c r="H52" s="18">
        <v>0</v>
      </c>
      <c r="I52" s="18">
        <v>0</v>
      </c>
      <c r="J52" s="18">
        <v>0</v>
      </c>
      <c r="K52" s="18">
        <v>0</v>
      </c>
      <c r="L52" s="18">
        <v>0</v>
      </c>
      <c r="M52" s="18">
        <v>0</v>
      </c>
      <c r="N52" s="18">
        <v>0</v>
      </c>
      <c r="O52" s="18">
        <v>0</v>
      </c>
      <c r="P52" s="18">
        <v>0</v>
      </c>
      <c r="Q52">
        <v>0</v>
      </c>
      <c r="R52">
        <v>0</v>
      </c>
      <c r="S52">
        <v>0</v>
      </c>
      <c r="T52">
        <v>2</v>
      </c>
      <c r="U52">
        <v>2</v>
      </c>
      <c r="V52">
        <v>1</v>
      </c>
      <c r="W52">
        <v>2</v>
      </c>
      <c r="X52">
        <v>3</v>
      </c>
      <c r="Y52">
        <v>2</v>
      </c>
      <c r="Z52" s="10">
        <v>5</v>
      </c>
    </row>
    <row r="53" spans="2:28" x14ac:dyDescent="0.25">
      <c r="B53" s="39" t="str">
        <v>Friday</v>
      </c>
      <c r="C53" s="18">
        <v>2</v>
      </c>
      <c r="D53" s="18">
        <v>0</v>
      </c>
      <c r="E53" s="18">
        <v>0</v>
      </c>
      <c r="F53" s="18">
        <v>0</v>
      </c>
      <c r="G53" s="18">
        <v>0</v>
      </c>
      <c r="H53" s="18">
        <v>0</v>
      </c>
      <c r="I53" s="18">
        <v>0</v>
      </c>
      <c r="J53" s="18">
        <v>0</v>
      </c>
      <c r="K53" s="18">
        <v>0</v>
      </c>
      <c r="L53" s="18">
        <v>0</v>
      </c>
      <c r="M53" s="18">
        <v>0</v>
      </c>
      <c r="N53" s="18">
        <v>0</v>
      </c>
      <c r="O53" s="18">
        <v>0</v>
      </c>
      <c r="P53" s="18">
        <v>0</v>
      </c>
      <c r="Q53">
        <v>0</v>
      </c>
      <c r="R53">
        <v>0</v>
      </c>
      <c r="S53">
        <v>0</v>
      </c>
      <c r="T53">
        <v>2</v>
      </c>
      <c r="U53">
        <v>1</v>
      </c>
      <c r="V53">
        <v>4</v>
      </c>
      <c r="W53">
        <v>3</v>
      </c>
      <c r="X53">
        <v>4</v>
      </c>
      <c r="Y53">
        <v>3</v>
      </c>
      <c r="Z53" s="10">
        <v>5</v>
      </c>
    </row>
    <row r="54" spans="2:28" x14ac:dyDescent="0.25">
      <c r="B54" s="39" t="str">
        <v>Saturday</v>
      </c>
      <c r="C54" s="18">
        <v>6</v>
      </c>
      <c r="D54" s="18">
        <v>0</v>
      </c>
      <c r="E54" s="18">
        <v>0</v>
      </c>
      <c r="F54" s="18">
        <v>0</v>
      </c>
      <c r="G54" s="18">
        <v>0</v>
      </c>
      <c r="H54" s="18">
        <v>0</v>
      </c>
      <c r="I54" s="18">
        <v>0</v>
      </c>
      <c r="J54" s="18">
        <v>0</v>
      </c>
      <c r="K54" s="18">
        <v>0</v>
      </c>
      <c r="L54" s="18">
        <v>0</v>
      </c>
      <c r="M54" s="18">
        <v>0</v>
      </c>
      <c r="N54" s="18">
        <v>0</v>
      </c>
      <c r="O54" s="18">
        <v>0</v>
      </c>
      <c r="P54" s="18">
        <v>0</v>
      </c>
      <c r="Q54">
        <v>0</v>
      </c>
      <c r="R54">
        <v>0</v>
      </c>
      <c r="S54">
        <v>1</v>
      </c>
      <c r="T54">
        <v>2</v>
      </c>
      <c r="U54">
        <v>2</v>
      </c>
      <c r="V54">
        <v>4</v>
      </c>
      <c r="W54">
        <v>3</v>
      </c>
      <c r="X54">
        <v>2</v>
      </c>
      <c r="Y54">
        <v>6</v>
      </c>
      <c r="Z54" s="10">
        <v>4</v>
      </c>
    </row>
    <row r="55" spans="2:28" x14ac:dyDescent="0.25">
      <c r="B55" s="40" t="str">
        <v>Sunday</v>
      </c>
      <c r="C55" s="20">
        <v>2</v>
      </c>
      <c r="D55" s="20">
        <v>2</v>
      </c>
      <c r="E55" s="20">
        <v>0</v>
      </c>
      <c r="F55" s="20">
        <v>0</v>
      </c>
      <c r="G55" s="20">
        <v>0</v>
      </c>
      <c r="H55" s="20">
        <v>0</v>
      </c>
      <c r="I55" s="20">
        <v>0</v>
      </c>
      <c r="J55" s="20">
        <v>0</v>
      </c>
      <c r="K55" s="20">
        <v>0</v>
      </c>
      <c r="L55" s="20">
        <v>1</v>
      </c>
      <c r="M55" s="20">
        <v>0</v>
      </c>
      <c r="N55" s="20">
        <v>0</v>
      </c>
      <c r="O55" s="20">
        <v>0</v>
      </c>
      <c r="P55" s="20">
        <v>0</v>
      </c>
      <c r="Q55" s="16">
        <v>0</v>
      </c>
      <c r="R55" s="16">
        <v>1</v>
      </c>
      <c r="S55" s="16">
        <v>1</v>
      </c>
      <c r="T55" s="16">
        <v>1</v>
      </c>
      <c r="U55" s="16">
        <v>0</v>
      </c>
      <c r="V55" s="16">
        <v>4</v>
      </c>
      <c r="W55" s="16">
        <v>1</v>
      </c>
      <c r="X55" s="16">
        <v>1</v>
      </c>
      <c r="Y55" s="16">
        <v>3</v>
      </c>
      <c r="Z55" s="17">
        <v>4</v>
      </c>
    </row>
    <row r="57" spans="2:28" x14ac:dyDescent="0.25">
      <c r="B57" s="38"/>
      <c r="C57" s="36" cm="1">
        <f t="array" ref="C57:Z57">_xlfn.SEQUENCE(1,24,0,1)</f>
        <v>0</v>
      </c>
      <c r="D57" s="36">
        <v>1</v>
      </c>
      <c r="E57" s="36">
        <v>2</v>
      </c>
      <c r="F57" s="36">
        <v>3</v>
      </c>
      <c r="G57" s="36">
        <v>4</v>
      </c>
      <c r="H57" s="36">
        <v>5</v>
      </c>
      <c r="I57" s="36">
        <v>6</v>
      </c>
      <c r="J57" s="36">
        <v>7</v>
      </c>
      <c r="K57" s="36">
        <v>8</v>
      </c>
      <c r="L57" s="36">
        <v>9</v>
      </c>
      <c r="M57" s="36">
        <v>10</v>
      </c>
      <c r="N57" s="36">
        <v>11</v>
      </c>
      <c r="O57" s="36">
        <v>12</v>
      </c>
      <c r="P57" s="36">
        <v>13</v>
      </c>
      <c r="Q57" s="36">
        <v>14</v>
      </c>
      <c r="R57" s="36">
        <v>15</v>
      </c>
      <c r="S57" s="36">
        <v>16</v>
      </c>
      <c r="T57" s="36">
        <v>17</v>
      </c>
      <c r="U57" s="36">
        <v>18</v>
      </c>
      <c r="V57" s="36">
        <v>19</v>
      </c>
      <c r="W57" s="36">
        <v>20</v>
      </c>
      <c r="X57" s="36">
        <v>21</v>
      </c>
      <c r="Y57" s="36">
        <v>22</v>
      </c>
      <c r="Z57" s="37">
        <v>23</v>
      </c>
    </row>
    <row r="58" spans="2:28" x14ac:dyDescent="0.25">
      <c r="B58" s="39" t="str" cm="1">
        <f t="array" ref="B58:B64">_xlfn.SORTBY(_xlfn.UNIQUE(data[day_of_week_name]), _xlfn.UNIQUE(data[day_of_week]))</f>
        <v>Monday</v>
      </c>
      <c r="C58" s="21" cm="1">
        <f t="array" ref="C58:Z64">IFERROR( SUMIFS(data[kills], data[day_of_week_name],_xlfn.ANCHORARRAY(B58),data[hour],_xlfn.ANCHORARRAY(C57)) / SUMIFS(data[deaths], data[day_of_week_name],_xlfn.ANCHORARRAY(B58),data[hour],_xlfn.ANCHORARRAY(C57)), 0)</f>
        <v>0</v>
      </c>
      <c r="D58" s="22">
        <v>0</v>
      </c>
      <c r="E58" s="21">
        <v>0</v>
      </c>
      <c r="F58" s="21">
        <v>0</v>
      </c>
      <c r="G58" s="21">
        <v>0</v>
      </c>
      <c r="H58" s="21">
        <v>0</v>
      </c>
      <c r="I58" s="21">
        <v>0</v>
      </c>
      <c r="J58" s="21">
        <v>0</v>
      </c>
      <c r="K58" s="21">
        <v>1</v>
      </c>
      <c r="L58" s="21">
        <v>0</v>
      </c>
      <c r="M58" s="21">
        <v>0</v>
      </c>
      <c r="N58" s="21">
        <v>0</v>
      </c>
      <c r="O58" s="21">
        <v>0</v>
      </c>
      <c r="P58" s="21">
        <v>0</v>
      </c>
      <c r="Q58" s="8">
        <v>0</v>
      </c>
      <c r="R58" s="8">
        <v>0</v>
      </c>
      <c r="S58" s="8">
        <v>0</v>
      </c>
      <c r="T58" s="8">
        <v>0</v>
      </c>
      <c r="U58" s="8">
        <v>1.25</v>
      </c>
      <c r="V58" s="8">
        <v>0</v>
      </c>
      <c r="W58" s="8">
        <v>0</v>
      </c>
      <c r="X58" s="8">
        <v>0</v>
      </c>
      <c r="Y58" s="8">
        <v>0</v>
      </c>
      <c r="Z58" s="23">
        <v>1.5952380952380953</v>
      </c>
    </row>
    <row r="59" spans="2:28" x14ac:dyDescent="0.25">
      <c r="B59" s="39" t="str">
        <v>Tuesday</v>
      </c>
      <c r="C59" s="21">
        <v>0</v>
      </c>
      <c r="D59" s="21">
        <v>4</v>
      </c>
      <c r="E59" s="21">
        <v>0</v>
      </c>
      <c r="F59" s="21">
        <v>0</v>
      </c>
      <c r="G59" s="21">
        <v>0</v>
      </c>
      <c r="H59" s="21">
        <v>0</v>
      </c>
      <c r="I59" s="21">
        <v>0</v>
      </c>
      <c r="J59" s="21">
        <v>0</v>
      </c>
      <c r="K59" s="21">
        <v>0</v>
      </c>
      <c r="L59" s="21">
        <v>0</v>
      </c>
      <c r="M59" s="21">
        <v>0</v>
      </c>
      <c r="N59" s="21">
        <v>0</v>
      </c>
      <c r="O59" s="21">
        <v>0</v>
      </c>
      <c r="P59" s="21">
        <v>0</v>
      </c>
      <c r="Q59" s="8">
        <v>0</v>
      </c>
      <c r="R59" s="8">
        <v>0</v>
      </c>
      <c r="S59" s="8">
        <v>0</v>
      </c>
      <c r="T59" s="8">
        <v>0</v>
      </c>
      <c r="U59" s="8">
        <v>1.6666666666666667</v>
      </c>
      <c r="V59" s="8">
        <v>0</v>
      </c>
      <c r="W59" s="8">
        <v>0</v>
      </c>
      <c r="X59" s="8">
        <v>0</v>
      </c>
      <c r="Y59" s="8">
        <v>0</v>
      </c>
      <c r="Z59" s="23">
        <v>3.6666666666666665</v>
      </c>
    </row>
    <row r="60" spans="2:28" x14ac:dyDescent="0.25">
      <c r="B60" s="39" t="str">
        <v>Wednesday</v>
      </c>
      <c r="C60" s="21">
        <v>0</v>
      </c>
      <c r="D60" s="21">
        <v>0</v>
      </c>
      <c r="E60" s="21">
        <v>0</v>
      </c>
      <c r="F60" s="21">
        <v>0</v>
      </c>
      <c r="G60" s="21">
        <v>0</v>
      </c>
      <c r="H60" s="21">
        <v>0</v>
      </c>
      <c r="I60" s="21">
        <v>0</v>
      </c>
      <c r="J60" s="21">
        <v>0</v>
      </c>
      <c r="K60" s="21">
        <v>0</v>
      </c>
      <c r="L60" s="21">
        <v>0</v>
      </c>
      <c r="M60" s="21">
        <v>0</v>
      </c>
      <c r="N60" s="21">
        <v>0</v>
      </c>
      <c r="O60" s="21">
        <v>0</v>
      </c>
      <c r="P60" s="21">
        <v>0</v>
      </c>
      <c r="Q60" s="8">
        <v>2.2083333333333335</v>
      </c>
      <c r="R60" s="8">
        <v>1.0303030303030303</v>
      </c>
      <c r="S60" s="8">
        <v>1.5714285714285714</v>
      </c>
      <c r="T60" s="8">
        <v>0</v>
      </c>
      <c r="U60" s="8">
        <v>0</v>
      </c>
      <c r="V60" s="8">
        <v>0</v>
      </c>
      <c r="W60" s="8">
        <v>1.6363636363636365</v>
      </c>
      <c r="X60" s="8">
        <v>1.3228346456692914</v>
      </c>
      <c r="Y60" s="8">
        <v>0</v>
      </c>
      <c r="Z60" s="23">
        <v>0</v>
      </c>
    </row>
    <row r="61" spans="2:28" x14ac:dyDescent="0.25">
      <c r="B61" s="39" t="str">
        <v>Thursday</v>
      </c>
      <c r="C61" s="21">
        <v>0</v>
      </c>
      <c r="D61" s="21">
        <v>1</v>
      </c>
      <c r="E61" s="21">
        <v>0</v>
      </c>
      <c r="F61" s="21">
        <v>0</v>
      </c>
      <c r="G61" s="21">
        <v>0</v>
      </c>
      <c r="H61" s="21">
        <v>0</v>
      </c>
      <c r="I61" s="21">
        <v>0</v>
      </c>
      <c r="J61" s="21">
        <v>0</v>
      </c>
      <c r="K61" s="21">
        <v>0</v>
      </c>
      <c r="L61" s="21">
        <v>0</v>
      </c>
      <c r="M61" s="21">
        <v>0</v>
      </c>
      <c r="N61" s="21">
        <v>0</v>
      </c>
      <c r="O61" s="21">
        <v>0</v>
      </c>
      <c r="P61" s="21">
        <v>0</v>
      </c>
      <c r="Q61" s="8">
        <v>0</v>
      </c>
      <c r="R61" s="8">
        <v>0</v>
      </c>
      <c r="S61" s="8">
        <v>0</v>
      </c>
      <c r="T61" s="8">
        <v>1.6666666666666667</v>
      </c>
      <c r="U61" s="8">
        <v>1.1818181818181819</v>
      </c>
      <c r="V61" s="8">
        <v>1.2266666666666666</v>
      </c>
      <c r="W61" s="8">
        <v>1.0588235294117647</v>
      </c>
      <c r="X61" s="8">
        <v>2.8571428571428572</v>
      </c>
      <c r="Y61" s="8">
        <v>0.97959183673469385</v>
      </c>
      <c r="Z61" s="23">
        <v>1.5294117647058822</v>
      </c>
    </row>
    <row r="62" spans="2:28" x14ac:dyDescent="0.25">
      <c r="B62" s="39" t="str">
        <v>Friday</v>
      </c>
      <c r="C62" s="21">
        <v>1.0769230769230769</v>
      </c>
      <c r="D62" s="21">
        <v>0</v>
      </c>
      <c r="E62" s="21">
        <v>0</v>
      </c>
      <c r="F62" s="21">
        <v>0</v>
      </c>
      <c r="G62" s="21">
        <v>0</v>
      </c>
      <c r="H62" s="21">
        <v>0</v>
      </c>
      <c r="I62" s="21">
        <v>0</v>
      </c>
      <c r="J62" s="21">
        <v>0</v>
      </c>
      <c r="K62" s="21">
        <v>0</v>
      </c>
      <c r="L62" s="21">
        <v>0</v>
      </c>
      <c r="M62" s="21">
        <v>0</v>
      </c>
      <c r="N62" s="21">
        <v>0</v>
      </c>
      <c r="O62" s="21">
        <v>0</v>
      </c>
      <c r="P62" s="21">
        <v>0</v>
      </c>
      <c r="Q62" s="8">
        <v>0</v>
      </c>
      <c r="R62" s="8">
        <v>0</v>
      </c>
      <c r="S62" s="8">
        <v>0</v>
      </c>
      <c r="T62" s="8">
        <v>1.6395348837209303</v>
      </c>
      <c r="U62" s="8">
        <v>1.5</v>
      </c>
      <c r="V62" s="8">
        <v>1.5058823529411764</v>
      </c>
      <c r="W62" s="8">
        <v>1.4186046511627908</v>
      </c>
      <c r="X62" s="8">
        <v>1.6428571428571428</v>
      </c>
      <c r="Y62" s="8">
        <v>1.1063829787234043</v>
      </c>
      <c r="Z62" s="23">
        <v>2.1969696969696968</v>
      </c>
    </row>
    <row r="63" spans="2:28" x14ac:dyDescent="0.25">
      <c r="B63" s="39" t="str">
        <v>Saturday</v>
      </c>
      <c r="C63" s="21">
        <v>1.7719298245614035</v>
      </c>
      <c r="D63" s="21">
        <v>0</v>
      </c>
      <c r="E63" s="21">
        <v>0</v>
      </c>
      <c r="F63" s="21">
        <v>0</v>
      </c>
      <c r="G63" s="21">
        <v>0</v>
      </c>
      <c r="H63" s="21">
        <v>0</v>
      </c>
      <c r="I63" s="21">
        <v>0</v>
      </c>
      <c r="J63" s="21">
        <v>0</v>
      </c>
      <c r="K63" s="21">
        <v>0</v>
      </c>
      <c r="L63" s="21">
        <v>0</v>
      </c>
      <c r="M63" s="21">
        <v>0</v>
      </c>
      <c r="N63" s="21">
        <v>0</v>
      </c>
      <c r="O63" s="21">
        <v>0</v>
      </c>
      <c r="P63" s="21">
        <v>0</v>
      </c>
      <c r="Q63" s="8">
        <v>0</v>
      </c>
      <c r="R63" s="8">
        <v>0</v>
      </c>
      <c r="S63" s="8">
        <v>0</v>
      </c>
      <c r="T63" s="8">
        <v>2.5588235294117645</v>
      </c>
      <c r="U63" s="8">
        <v>1.4782608695652173</v>
      </c>
      <c r="V63" s="8">
        <v>1.4233576642335766</v>
      </c>
      <c r="W63" s="8">
        <v>1.1917808219178083</v>
      </c>
      <c r="X63" s="8">
        <v>2</v>
      </c>
      <c r="Y63" s="8">
        <v>1.4803921568627452</v>
      </c>
      <c r="Z63" s="23">
        <v>1.0612244897959184</v>
      </c>
    </row>
    <row r="64" spans="2:28" x14ac:dyDescent="0.25">
      <c r="B64" s="40" t="str">
        <v>Sunday</v>
      </c>
      <c r="C64" s="24">
        <v>1.6756756756756757</v>
      </c>
      <c r="D64" s="24">
        <v>0.64864864864864868</v>
      </c>
      <c r="E64" s="24">
        <v>0</v>
      </c>
      <c r="F64" s="24">
        <v>0</v>
      </c>
      <c r="G64" s="24">
        <v>0</v>
      </c>
      <c r="H64" s="24">
        <v>0</v>
      </c>
      <c r="I64" s="24">
        <v>0</v>
      </c>
      <c r="J64" s="24">
        <v>0</v>
      </c>
      <c r="K64" s="24">
        <v>0</v>
      </c>
      <c r="L64" s="24">
        <v>1</v>
      </c>
      <c r="M64" s="24">
        <v>0</v>
      </c>
      <c r="N64" s="24">
        <v>0</v>
      </c>
      <c r="O64" s="24">
        <v>0</v>
      </c>
      <c r="P64" s="24">
        <v>0</v>
      </c>
      <c r="Q64" s="25">
        <v>0</v>
      </c>
      <c r="R64" s="25">
        <v>1.6666666666666667</v>
      </c>
      <c r="S64" s="25">
        <v>0.5</v>
      </c>
      <c r="T64" s="25">
        <v>2.2999999999999998</v>
      </c>
      <c r="U64" s="25">
        <v>0</v>
      </c>
      <c r="V64" s="25">
        <v>1.6086956521739131</v>
      </c>
      <c r="W64" s="25">
        <v>1.75</v>
      </c>
      <c r="X64" s="25">
        <v>1.8</v>
      </c>
      <c r="Y64" s="25">
        <v>1.3461538461538463</v>
      </c>
      <c r="Z64" s="26">
        <v>1.8620689655172413</v>
      </c>
    </row>
    <row r="66" spans="2:10" ht="45" x14ac:dyDescent="0.25">
      <c r="B66" s="41"/>
      <c r="C66" s="42" t="s">
        <v>38</v>
      </c>
      <c r="D66" s="43" t="s">
        <v>21</v>
      </c>
      <c r="E66" s="43" t="s">
        <v>22</v>
      </c>
      <c r="F66" s="43" t="s">
        <v>23</v>
      </c>
      <c r="G66" s="43" t="s">
        <v>34</v>
      </c>
      <c r="H66" s="43" t="s">
        <v>35</v>
      </c>
      <c r="I66" s="43" t="s">
        <v>36</v>
      </c>
      <c r="J66" s="44" t="s">
        <v>37</v>
      </c>
    </row>
    <row r="67" spans="2:10" x14ac:dyDescent="0.25">
      <c r="B67" s="9" cm="1">
        <f t="array" ref="B67:B68">_xlfn.UNIQUE(data[is_weekend])</f>
        <v>0</v>
      </c>
      <c r="C67" t="str" cm="1">
        <f t="array" ref="C67:C68">IF(_xlfn.ANCHORARRAY(B67)=0,"Weekdays","Weekend")</f>
        <v>Weekdays</v>
      </c>
      <c r="D67" cm="1">
        <f t="array" ref="D67:D68">COUNTIFS(data[is_weekend],_xlfn.ANCHORARRAY(B67))</f>
        <v>59</v>
      </c>
      <c r="E67" s="8" cm="1">
        <f t="array" ref="E67:E68">SUMIFS(data[kills],data[is_weekend],_xlfn.ANCHORARRAY(B67)) / SUMIFS(data[deaths],data[is_weekend],_xlfn.ANCHORARRAY(B67))</f>
        <v>1.4791666666666667</v>
      </c>
      <c r="F67" s="3" cm="1">
        <f t="array" ref="F67:F68">SUMIFS(data[headshots],data[is_weekend],_xlfn.ANCHORARRAY(B67)) / SUMIFS(data[kills],data[is_weekend],_xlfn.ANCHORARRAY(B67))</f>
        <v>0.75704225352112675</v>
      </c>
      <c r="G67" s="8" cm="1">
        <f t="array" ref="G67:G68">SUMIFS(data[kills],data[is_weekend],_xlfn.ANCHORARRAY(B67)) / SUMIFS(data[session_duration_min],data[is_weekend],_xlfn.ANCHORARRAY(B67))</f>
        <v>1.1589077430543746</v>
      </c>
      <c r="H67" s="3" cm="1">
        <f t="array" ref="H67:H68">COUNTIFS(data[is_weekend],_xlfn.ANCHORARRAY(B67), data[day_part], "Evening") / COUNTIFS(data[is_weekend],_xlfn.ANCHORARRAY(B67))</f>
        <v>0.79661016949152541</v>
      </c>
      <c r="I67" s="8" cm="1">
        <f t="array" ref="I67:I68">SUMIFS(data[kills],data[is_weekend],_xlfn.ANCHORARRAY(B67), data[day_part], "Evening") / SUMIFS(data[deaths],data[is_weekend],_xlfn.ANCHORARRAY(B67), data[day_part], "Evening")</f>
        <v>1.44</v>
      </c>
      <c r="J67" s="12" cm="1">
        <f t="array" ref="J67:J68">SUMIFS(data[headshots],data[is_weekend],_xlfn.ANCHORARRAY(B67),data[day_part], "Evening") / SUMIFS(data[kills],data[is_weekend],_xlfn.ANCHORARRAY(B67), data[day_part], "Evening")</f>
        <v>0.75385802469135799</v>
      </c>
    </row>
    <row r="68" spans="2:10" x14ac:dyDescent="0.25">
      <c r="B68" s="13">
        <v>1</v>
      </c>
      <c r="C68" s="16" t="str">
        <v>Weekend</v>
      </c>
      <c r="D68" s="16">
        <v>51</v>
      </c>
      <c r="E68" s="25">
        <v>1.5375722543352601</v>
      </c>
      <c r="F68" s="14">
        <v>0.7879699248120301</v>
      </c>
      <c r="G68" s="25">
        <v>1.1767828702884446</v>
      </c>
      <c r="H68" s="14">
        <v>0.66666666666666663</v>
      </c>
      <c r="I68" s="25">
        <v>1.4713584288052373</v>
      </c>
      <c r="J68" s="15">
        <v>0.79421579532814235</v>
      </c>
    </row>
    <row r="71" spans="2:10" ht="18.75" x14ac:dyDescent="0.25">
      <c r="B71" s="27" t="s">
        <v>41</v>
      </c>
    </row>
    <row r="88" spans="5:21" ht="45" x14ac:dyDescent="0.25">
      <c r="E88" s="45" t="s">
        <v>74</v>
      </c>
      <c r="F88" s="45" t="s">
        <v>73</v>
      </c>
      <c r="G88" s="45" t="s">
        <v>43</v>
      </c>
      <c r="H88" s="45" t="s">
        <v>62</v>
      </c>
      <c r="I88" s="46" t="s">
        <v>77</v>
      </c>
      <c r="J88" s="46" t="s">
        <v>78</v>
      </c>
      <c r="K88" s="45" t="s">
        <v>63</v>
      </c>
      <c r="L88" s="45" t="s">
        <v>29</v>
      </c>
      <c r="M88" s="45" t="s">
        <v>72</v>
      </c>
      <c r="N88" s="45" t="s">
        <v>64</v>
      </c>
      <c r="O88" s="45" t="s">
        <v>65</v>
      </c>
      <c r="P88" s="45" t="s">
        <v>71</v>
      </c>
      <c r="Q88" s="45" t="s">
        <v>66</v>
      </c>
      <c r="R88" s="45" t="s">
        <v>67</v>
      </c>
      <c r="S88" s="45" t="s">
        <v>70</v>
      </c>
      <c r="T88" s="45" t="s">
        <v>68</v>
      </c>
      <c r="U88" s="45" t="s">
        <v>69</v>
      </c>
    </row>
    <row r="89" spans="5:21" x14ac:dyDescent="0.25">
      <c r="E89">
        <v>2025</v>
      </c>
      <c r="G89">
        <v>44</v>
      </c>
      <c r="H89" s="3">
        <v>0.4</v>
      </c>
      <c r="I89">
        <v>12</v>
      </c>
      <c r="J89" s="3">
        <v>0.27272727272727271</v>
      </c>
      <c r="L89" s="30"/>
      <c r="M89" s="8">
        <v>19.301388888888887</v>
      </c>
      <c r="N89" s="3">
        <v>0.4453224638377779</v>
      </c>
      <c r="O89" s="8">
        <v>26.320075757575754</v>
      </c>
      <c r="P89" s="8">
        <v>1.562429696287964</v>
      </c>
      <c r="R89" s="3"/>
      <c r="S89" s="3">
        <v>0.76169906407487398</v>
      </c>
      <c r="U89" s="8">
        <v>1.1993955529970497</v>
      </c>
    </row>
    <row r="90" spans="5:21" x14ac:dyDescent="0.25">
      <c r="F90" t="s">
        <v>48</v>
      </c>
      <c r="G90">
        <v>1</v>
      </c>
      <c r="H90" s="3">
        <v>9.0909090909090905E-3</v>
      </c>
      <c r="I90">
        <v>0</v>
      </c>
      <c r="J90" s="3">
        <v>0</v>
      </c>
      <c r="L90" s="29"/>
      <c r="M90" s="8">
        <v>0.44138888888888889</v>
      </c>
      <c r="N90" s="3">
        <v>1.0183743182531901E-2</v>
      </c>
      <c r="O90" s="8">
        <v>26.483333333333334</v>
      </c>
      <c r="P90" s="8">
        <v>1.368421052631579</v>
      </c>
      <c r="Q90">
        <v>3</v>
      </c>
      <c r="R90" s="3"/>
      <c r="S90" s="3">
        <v>0.76923076923076927</v>
      </c>
      <c r="T90">
        <v>2</v>
      </c>
      <c r="U90" s="8">
        <v>0.98174952800503457</v>
      </c>
    </row>
    <row r="91" spans="5:21" x14ac:dyDescent="0.25">
      <c r="F91" t="s">
        <v>49</v>
      </c>
      <c r="G91">
        <v>19</v>
      </c>
      <c r="H91" s="3">
        <v>0.17272727272727273</v>
      </c>
      <c r="I91">
        <v>6</v>
      </c>
      <c r="J91" s="3">
        <v>0.31578947368421051</v>
      </c>
      <c r="K91">
        <v>18</v>
      </c>
      <c r="L91" s="30">
        <v>18</v>
      </c>
      <c r="M91" s="8">
        <v>8.3852777777777767</v>
      </c>
      <c r="N91" s="3">
        <v>0.19346548486538104</v>
      </c>
      <c r="O91" s="8">
        <v>26.479824561403507</v>
      </c>
      <c r="P91" s="8">
        <v>1.6746031746031746</v>
      </c>
      <c r="Q91">
        <v>1</v>
      </c>
      <c r="R91" s="3"/>
      <c r="S91" s="3">
        <v>0.77251184834123221</v>
      </c>
      <c r="T91">
        <v>1</v>
      </c>
      <c r="U91" s="8">
        <v>1.2581574850101038</v>
      </c>
    </row>
    <row r="92" spans="5:21" x14ac:dyDescent="0.25">
      <c r="F92" t="s">
        <v>50</v>
      </c>
      <c r="G92">
        <v>24</v>
      </c>
      <c r="H92" s="3">
        <v>0.21818181818181817</v>
      </c>
      <c r="I92">
        <v>6</v>
      </c>
      <c r="J92" s="3">
        <v>0.25</v>
      </c>
      <c r="K92">
        <v>5</v>
      </c>
      <c r="L92" s="30">
        <v>5</v>
      </c>
      <c r="M92" s="8">
        <v>10.474722222222223</v>
      </c>
      <c r="N92" s="3">
        <v>0.24167323578986502</v>
      </c>
      <c r="O92" s="8">
        <v>26.186805555555555</v>
      </c>
      <c r="P92" s="8">
        <v>1.4837398373983739</v>
      </c>
      <c r="Q92">
        <v>2</v>
      </c>
      <c r="R92" s="3"/>
      <c r="S92" s="3">
        <v>0.75205479452054791</v>
      </c>
      <c r="T92">
        <v>3</v>
      </c>
      <c r="U92" s="8">
        <v>1.1615264260521361</v>
      </c>
    </row>
    <row r="93" spans="5:21" x14ac:dyDescent="0.25">
      <c r="H93" s="3"/>
      <c r="J93" s="3"/>
      <c r="L93" s="29"/>
      <c r="M93" s="8"/>
      <c r="N93" s="3"/>
      <c r="O93" s="8"/>
      <c r="P93" s="8"/>
      <c r="R93" s="3"/>
      <c r="S93" s="3"/>
      <c r="U93" s="8"/>
    </row>
    <row r="94" spans="5:21" x14ac:dyDescent="0.25">
      <c r="E94">
        <v>2026</v>
      </c>
      <c r="G94">
        <v>66</v>
      </c>
      <c r="H94" s="3">
        <v>0.6</v>
      </c>
      <c r="I94">
        <v>30</v>
      </c>
      <c r="J94" s="3">
        <v>0.45454545454545453</v>
      </c>
      <c r="L94" s="30"/>
      <c r="M94" s="8">
        <v>24.04111111111111</v>
      </c>
      <c r="N94" s="3">
        <v>0.55467753616222215</v>
      </c>
      <c r="O94" s="8">
        <v>21.855555555555554</v>
      </c>
      <c r="P94" s="8">
        <v>1.4583333333333333</v>
      </c>
      <c r="R94" s="3">
        <v>-6.662467002639795E-2</v>
      </c>
      <c r="S94" s="3">
        <v>0.77811550151975684</v>
      </c>
      <c r="U94" s="8">
        <v>1.1404076350695567</v>
      </c>
    </row>
    <row r="95" spans="5:21" x14ac:dyDescent="0.25">
      <c r="F95" t="s">
        <v>51</v>
      </c>
      <c r="G95">
        <v>6</v>
      </c>
      <c r="H95" s="3">
        <v>5.4545454545454543E-2</v>
      </c>
      <c r="I95">
        <v>1</v>
      </c>
      <c r="J95" s="3">
        <v>0.16666666666666666</v>
      </c>
      <c r="L95" s="30"/>
      <c r="M95" s="8">
        <v>1.5486111111111112</v>
      </c>
      <c r="N95" s="3">
        <v>3.5729621298058747E-2</v>
      </c>
      <c r="O95" s="8">
        <v>15.486111111111112</v>
      </c>
      <c r="P95" s="8">
        <v>2.3157894736842106</v>
      </c>
      <c r="Q95">
        <v>1</v>
      </c>
      <c r="R95" s="3"/>
      <c r="S95" s="3">
        <v>0.77272727272727271</v>
      </c>
      <c r="T95">
        <v>5</v>
      </c>
      <c r="U95" s="8">
        <v>1.420627802690583</v>
      </c>
    </row>
    <row r="96" spans="5:21" x14ac:dyDescent="0.25">
      <c r="F96" t="s">
        <v>52</v>
      </c>
      <c r="G96">
        <v>5</v>
      </c>
      <c r="H96" s="3">
        <v>4.5454545454545456E-2</v>
      </c>
      <c r="I96">
        <v>1</v>
      </c>
      <c r="J96" s="3">
        <v>0.2</v>
      </c>
      <c r="K96">
        <v>-1</v>
      </c>
      <c r="L96" s="30">
        <v>-1</v>
      </c>
      <c r="M96" s="8">
        <v>1.3755555555555554</v>
      </c>
      <c r="N96" s="3">
        <v>3.1736876173629941E-2</v>
      </c>
      <c r="O96" s="8">
        <v>16.506666666666668</v>
      </c>
      <c r="P96" s="8">
        <v>1.9</v>
      </c>
      <c r="Q96">
        <v>2</v>
      </c>
      <c r="R96" s="3"/>
      <c r="S96" s="3">
        <v>0.82105263157894737</v>
      </c>
      <c r="T96">
        <v>3</v>
      </c>
      <c r="U96" s="8">
        <v>1.1510500807754442</v>
      </c>
    </row>
    <row r="97" spans="5:21" x14ac:dyDescent="0.25">
      <c r="F97" t="s">
        <v>53</v>
      </c>
      <c r="G97">
        <v>11</v>
      </c>
      <c r="H97" s="3">
        <v>0.1</v>
      </c>
      <c r="I97">
        <v>6</v>
      </c>
      <c r="J97" s="3">
        <v>0.54545454545454541</v>
      </c>
      <c r="K97">
        <v>6</v>
      </c>
      <c r="L97" s="30">
        <v>6</v>
      </c>
      <c r="M97" s="8">
        <v>5.6772222222222224</v>
      </c>
      <c r="N97" s="3">
        <v>0.13098511212371744</v>
      </c>
      <c r="O97" s="8">
        <v>30.966666666666665</v>
      </c>
      <c r="P97" s="8">
        <v>1.4006968641114983</v>
      </c>
      <c r="Q97">
        <v>8</v>
      </c>
      <c r="R97" s="3"/>
      <c r="S97" s="3">
        <v>0.77611940298507465</v>
      </c>
      <c r="T97">
        <v>4</v>
      </c>
      <c r="U97" s="8">
        <v>1.1801546139543988</v>
      </c>
    </row>
    <row r="98" spans="5:21" x14ac:dyDescent="0.25">
      <c r="F98" t="s">
        <v>54</v>
      </c>
      <c r="G98">
        <v>7</v>
      </c>
      <c r="H98" s="3">
        <v>6.363636363636363E-2</v>
      </c>
      <c r="I98">
        <v>4</v>
      </c>
      <c r="J98" s="3">
        <v>0.5714285714285714</v>
      </c>
      <c r="K98">
        <v>-4</v>
      </c>
      <c r="L98" s="30">
        <v>-4</v>
      </c>
      <c r="M98" s="8">
        <v>1.6630555555555555</v>
      </c>
      <c r="N98" s="3">
        <v>3.8370088378740397E-2</v>
      </c>
      <c r="O98" s="8">
        <v>14.254761904761905</v>
      </c>
      <c r="P98" s="8">
        <v>1.4109589041095891</v>
      </c>
      <c r="Q98">
        <v>6</v>
      </c>
      <c r="R98" s="3"/>
      <c r="S98" s="3">
        <v>0.76699029126213591</v>
      </c>
      <c r="T98">
        <v>6</v>
      </c>
      <c r="U98" s="8">
        <v>1.0322365124436279</v>
      </c>
    </row>
    <row r="99" spans="5:21" x14ac:dyDescent="0.25">
      <c r="F99" t="s">
        <v>55</v>
      </c>
      <c r="G99">
        <v>8</v>
      </c>
      <c r="H99" s="3">
        <v>7.2727272727272724E-2</v>
      </c>
      <c r="I99">
        <v>5</v>
      </c>
      <c r="J99" s="3">
        <v>0.625</v>
      </c>
      <c r="K99">
        <v>1</v>
      </c>
      <c r="L99" s="30">
        <v>1</v>
      </c>
      <c r="M99" s="8">
        <v>1.1713888888888888</v>
      </c>
      <c r="N99" s="3">
        <v>2.7026334172899326E-2</v>
      </c>
      <c r="O99" s="8">
        <v>8.7854166666666664</v>
      </c>
      <c r="P99" s="8">
        <v>1.1311475409836065</v>
      </c>
      <c r="Q99">
        <v>10</v>
      </c>
      <c r="R99" s="3"/>
      <c r="S99" s="3">
        <v>0.85507246376811596</v>
      </c>
      <c r="T99">
        <v>1</v>
      </c>
      <c r="U99" s="8">
        <v>0.98174057386767843</v>
      </c>
    </row>
    <row r="100" spans="5:21" x14ac:dyDescent="0.25">
      <c r="F100" t="s">
        <v>56</v>
      </c>
      <c r="G100">
        <v>8</v>
      </c>
      <c r="H100" s="3">
        <v>7.2727272727272724E-2</v>
      </c>
      <c r="I100">
        <v>4</v>
      </c>
      <c r="J100" s="3">
        <v>0.5</v>
      </c>
      <c r="K100">
        <v>0</v>
      </c>
      <c r="L100" s="30">
        <v>0</v>
      </c>
      <c r="M100" s="8">
        <v>3.4566666666666674</v>
      </c>
      <c r="N100" s="3">
        <v>7.9752360077675902E-2</v>
      </c>
      <c r="O100" s="8">
        <v>25.925000000000004</v>
      </c>
      <c r="P100" s="8">
        <v>1.5031446540880504</v>
      </c>
      <c r="Q100">
        <v>5</v>
      </c>
      <c r="R100" s="3"/>
      <c r="S100" s="3">
        <v>0.75732217573221761</v>
      </c>
      <c r="T100">
        <v>8</v>
      </c>
      <c r="U100" s="8">
        <v>1.1523625843780134</v>
      </c>
    </row>
    <row r="101" spans="5:21" x14ac:dyDescent="0.25">
      <c r="F101" t="s">
        <v>57</v>
      </c>
      <c r="G101">
        <v>2</v>
      </c>
      <c r="H101" s="3">
        <v>1.8181818181818181E-2</v>
      </c>
      <c r="I101">
        <v>0</v>
      </c>
      <c r="J101" s="3">
        <v>0</v>
      </c>
      <c r="K101">
        <v>-6</v>
      </c>
      <c r="L101" s="30">
        <v>-6</v>
      </c>
      <c r="M101" s="8">
        <v>1.3574999999999997</v>
      </c>
      <c r="N101" s="3">
        <v>3.1320297629347633E-2</v>
      </c>
      <c r="O101" s="8">
        <v>40.724999999999994</v>
      </c>
      <c r="P101" s="8">
        <v>1.7192982456140351</v>
      </c>
      <c r="Q101">
        <v>3</v>
      </c>
      <c r="R101" s="3"/>
      <c r="S101" s="3">
        <v>0.74489795918367352</v>
      </c>
      <c r="T101">
        <v>9</v>
      </c>
      <c r="U101" s="8">
        <v>1.203192142418662</v>
      </c>
    </row>
    <row r="102" spans="5:21" x14ac:dyDescent="0.25">
      <c r="F102" t="s">
        <v>58</v>
      </c>
      <c r="G102">
        <v>2</v>
      </c>
      <c r="H102" s="3">
        <v>1.8181818181818181E-2</v>
      </c>
      <c r="I102">
        <v>1</v>
      </c>
      <c r="J102" s="3">
        <v>0.5</v>
      </c>
      <c r="K102">
        <v>0</v>
      </c>
      <c r="L102" s="30">
        <v>0</v>
      </c>
      <c r="M102" s="8">
        <v>0.67305555555555563</v>
      </c>
      <c r="N102" s="3">
        <v>1.5528766350707867E-2</v>
      </c>
      <c r="O102" s="8">
        <v>20.19166666666667</v>
      </c>
      <c r="P102" s="8">
        <v>1.6129032258064515</v>
      </c>
      <c r="Q102">
        <v>4</v>
      </c>
      <c r="R102" s="3"/>
      <c r="S102" s="3">
        <v>0.74</v>
      </c>
      <c r="T102">
        <v>10</v>
      </c>
      <c r="U102" s="8">
        <v>1.2381345439537761</v>
      </c>
    </row>
    <row r="103" spans="5:21" x14ac:dyDescent="0.25">
      <c r="F103" t="s">
        <v>59</v>
      </c>
      <c r="G103">
        <v>9</v>
      </c>
      <c r="H103" s="3">
        <v>8.1818181818181818E-2</v>
      </c>
      <c r="I103">
        <v>5</v>
      </c>
      <c r="J103" s="3">
        <v>0.55555555555555558</v>
      </c>
      <c r="K103">
        <v>7</v>
      </c>
      <c r="L103" s="30">
        <v>7</v>
      </c>
      <c r="M103" s="8">
        <v>4.8011111111111111</v>
      </c>
      <c r="N103" s="3">
        <v>0.11077143937500403</v>
      </c>
      <c r="O103" s="8">
        <v>32.007407407407406</v>
      </c>
      <c r="P103" s="8">
        <v>1.2459016393442623</v>
      </c>
      <c r="Q103">
        <v>9</v>
      </c>
      <c r="R103" s="3"/>
      <c r="S103" s="3">
        <v>0.76315789473684215</v>
      </c>
      <c r="T103">
        <v>7</v>
      </c>
      <c r="U103" s="8">
        <v>1.0553112705392271</v>
      </c>
    </row>
    <row r="104" spans="5:21" x14ac:dyDescent="0.25">
      <c r="F104" t="s">
        <v>48</v>
      </c>
      <c r="G104">
        <v>8</v>
      </c>
      <c r="H104" s="3">
        <v>7.2727272727272724E-2</v>
      </c>
      <c r="I104">
        <v>3</v>
      </c>
      <c r="J104" s="3">
        <v>0.375</v>
      </c>
      <c r="K104">
        <v>-1</v>
      </c>
      <c r="L104" s="30">
        <v>-1</v>
      </c>
      <c r="M104" s="8">
        <v>2.3169444444444451</v>
      </c>
      <c r="N104" s="3">
        <v>5.3456640582440915E-2</v>
      </c>
      <c r="O104" s="8">
        <v>17.377083333333339</v>
      </c>
      <c r="P104" s="8">
        <v>1.4036697247706422</v>
      </c>
      <c r="Q104">
        <v>7</v>
      </c>
      <c r="R104" s="3">
        <v>2.5758645024700062E-2</v>
      </c>
      <c r="S104" s="3">
        <v>0.83006535947712423</v>
      </c>
      <c r="T104">
        <v>2</v>
      </c>
      <c r="U104" s="8">
        <v>1.1005874595372254</v>
      </c>
    </row>
    <row r="105" spans="5:21" x14ac:dyDescent="0.25">
      <c r="H105" s="3"/>
      <c r="J105" s="3"/>
      <c r="L105" s="29"/>
      <c r="M105" s="8"/>
      <c r="N105" s="3"/>
      <c r="O105" s="8"/>
      <c r="P105" s="8"/>
      <c r="R105" s="3"/>
      <c r="S105" s="3"/>
      <c r="U105" s="8"/>
    </row>
    <row r="106" spans="5:21" x14ac:dyDescent="0.25">
      <c r="E106" s="31" t="s">
        <v>75</v>
      </c>
      <c r="F106" s="31"/>
      <c r="G106" s="31">
        <v>110</v>
      </c>
      <c r="H106" s="32">
        <v>1</v>
      </c>
      <c r="I106" s="31">
        <v>42</v>
      </c>
      <c r="J106" s="32">
        <v>0.38181818181818183</v>
      </c>
      <c r="K106" s="31"/>
      <c r="L106" s="33"/>
      <c r="M106" s="34">
        <v>43.342499999999994</v>
      </c>
      <c r="N106" s="32">
        <v>1</v>
      </c>
      <c r="O106" s="34">
        <v>23.641363636363632</v>
      </c>
      <c r="P106" s="34">
        <v>1.504214179474467</v>
      </c>
      <c r="Q106" s="31"/>
      <c r="R106" s="32"/>
      <c r="S106" s="32">
        <v>0.7705998681608438</v>
      </c>
      <c r="T106" s="31"/>
      <c r="U106" s="34">
        <v>1.1666762800176886</v>
      </c>
    </row>
    <row r="113" spans="2:14" hidden="1" x14ac:dyDescent="0.25">
      <c r="B113" s="5" t="s">
        <v>42</v>
      </c>
      <c r="C113" t="s">
        <v>60</v>
      </c>
      <c r="D113" t="s">
        <v>61</v>
      </c>
      <c r="F113" s="5" t="s">
        <v>42</v>
      </c>
      <c r="G113" t="s">
        <v>43</v>
      </c>
      <c r="H113" t="s">
        <v>44</v>
      </c>
      <c r="J113" s="5" t="s">
        <v>42</v>
      </c>
      <c r="K113" t="s">
        <v>45</v>
      </c>
      <c r="M113" s="5" t="s">
        <v>42</v>
      </c>
      <c r="N113" t="s">
        <v>46</v>
      </c>
    </row>
    <row r="114" spans="2:14" hidden="1" x14ac:dyDescent="0.25">
      <c r="B114" s="6">
        <v>2025</v>
      </c>
      <c r="C114" s="8">
        <v>19.301388888888887</v>
      </c>
      <c r="D114" s="8">
        <v>1.1993955529970497</v>
      </c>
      <c r="F114" s="6">
        <v>2025</v>
      </c>
      <c r="G114">
        <v>44</v>
      </c>
      <c r="H114" s="8">
        <v>1.562429696287964</v>
      </c>
      <c r="J114" s="6">
        <v>2025</v>
      </c>
      <c r="K114" s="3">
        <v>0.76169906407487398</v>
      </c>
      <c r="M114" s="6">
        <v>2025</v>
      </c>
      <c r="N114" s="8">
        <v>26.320075757575754</v>
      </c>
    </row>
    <row r="115" spans="2:14" hidden="1" x14ac:dyDescent="0.25">
      <c r="B115" s="7" t="s">
        <v>48</v>
      </c>
      <c r="C115" s="8">
        <v>0.44138888888888889</v>
      </c>
      <c r="D115" s="8">
        <v>0.98174952800503457</v>
      </c>
      <c r="F115" s="7" t="s">
        <v>48</v>
      </c>
      <c r="G115">
        <v>1</v>
      </c>
      <c r="H115" s="8">
        <v>1.368421052631579</v>
      </c>
      <c r="J115" s="7" t="s">
        <v>48</v>
      </c>
      <c r="K115" s="3">
        <v>0.76923076923076927</v>
      </c>
      <c r="M115" s="7" t="s">
        <v>48</v>
      </c>
      <c r="N115" s="8">
        <v>26.483333333333334</v>
      </c>
    </row>
    <row r="116" spans="2:14" hidden="1" x14ac:dyDescent="0.25">
      <c r="B116" s="7" t="s">
        <v>49</v>
      </c>
      <c r="C116" s="8">
        <v>8.3852777777777767</v>
      </c>
      <c r="D116" s="8">
        <v>1.2581574850101038</v>
      </c>
      <c r="F116" s="7" t="s">
        <v>49</v>
      </c>
      <c r="G116">
        <v>19</v>
      </c>
      <c r="H116" s="8">
        <v>1.6746031746031746</v>
      </c>
      <c r="J116" s="7" t="s">
        <v>49</v>
      </c>
      <c r="K116" s="3">
        <v>0.77251184834123221</v>
      </c>
      <c r="M116" s="7" t="s">
        <v>49</v>
      </c>
      <c r="N116" s="8">
        <v>26.479824561403507</v>
      </c>
    </row>
    <row r="117" spans="2:14" hidden="1" x14ac:dyDescent="0.25">
      <c r="B117" s="7" t="s">
        <v>50</v>
      </c>
      <c r="C117" s="8">
        <v>10.474722222222223</v>
      </c>
      <c r="D117" s="8">
        <v>1.1615264260521361</v>
      </c>
      <c r="F117" s="7" t="s">
        <v>50</v>
      </c>
      <c r="G117">
        <v>24</v>
      </c>
      <c r="H117" s="8">
        <v>1.4837398373983739</v>
      </c>
      <c r="J117" s="7" t="s">
        <v>50</v>
      </c>
      <c r="K117" s="3">
        <v>0.75205479452054791</v>
      </c>
      <c r="M117" s="7" t="s">
        <v>50</v>
      </c>
      <c r="N117" s="8">
        <v>26.186805555555555</v>
      </c>
    </row>
    <row r="118" spans="2:14" hidden="1" x14ac:dyDescent="0.25">
      <c r="B118" s="6">
        <v>2026</v>
      </c>
      <c r="C118" s="8">
        <v>24.04111111111111</v>
      </c>
      <c r="D118" s="8">
        <v>1.1404076350695567</v>
      </c>
      <c r="F118" s="6">
        <v>2026</v>
      </c>
      <c r="G118">
        <v>66</v>
      </c>
      <c r="H118" s="8">
        <v>1.4583333333333333</v>
      </c>
      <c r="J118" s="6">
        <v>2026</v>
      </c>
      <c r="K118" s="3">
        <v>0.77811550151975684</v>
      </c>
      <c r="M118" s="6">
        <v>2026</v>
      </c>
      <c r="N118" s="8">
        <v>21.855555555555554</v>
      </c>
    </row>
    <row r="119" spans="2:14" hidden="1" x14ac:dyDescent="0.25">
      <c r="B119" s="7" t="s">
        <v>51</v>
      </c>
      <c r="C119" s="8">
        <v>1.5486111111111112</v>
      </c>
      <c r="D119" s="8">
        <v>1.420627802690583</v>
      </c>
      <c r="F119" s="7" t="s">
        <v>51</v>
      </c>
      <c r="G119">
        <v>6</v>
      </c>
      <c r="H119" s="8">
        <v>2.3157894736842106</v>
      </c>
      <c r="J119" s="7" t="s">
        <v>51</v>
      </c>
      <c r="K119" s="3">
        <v>0.77272727272727271</v>
      </c>
      <c r="M119" s="7" t="s">
        <v>51</v>
      </c>
      <c r="N119" s="8">
        <v>15.486111111111112</v>
      </c>
    </row>
    <row r="120" spans="2:14" hidden="1" x14ac:dyDescent="0.25">
      <c r="B120" s="7" t="s">
        <v>52</v>
      </c>
      <c r="C120" s="8">
        <v>1.3755555555555554</v>
      </c>
      <c r="D120" s="8">
        <v>1.1510500807754442</v>
      </c>
      <c r="F120" s="7" t="s">
        <v>52</v>
      </c>
      <c r="G120">
        <v>5</v>
      </c>
      <c r="H120" s="8">
        <v>1.9</v>
      </c>
      <c r="J120" s="7" t="s">
        <v>52</v>
      </c>
      <c r="K120" s="3">
        <v>0.82105263157894737</v>
      </c>
      <c r="M120" s="7" t="s">
        <v>52</v>
      </c>
      <c r="N120" s="8">
        <v>16.506666666666668</v>
      </c>
    </row>
    <row r="121" spans="2:14" hidden="1" x14ac:dyDescent="0.25">
      <c r="B121" s="7" t="s">
        <v>53</v>
      </c>
      <c r="C121" s="8">
        <v>5.6772222222222224</v>
      </c>
      <c r="D121" s="8">
        <v>1.1801546139543988</v>
      </c>
      <c r="F121" s="7" t="s">
        <v>53</v>
      </c>
      <c r="G121">
        <v>11</v>
      </c>
      <c r="H121" s="8">
        <v>1.4006968641114983</v>
      </c>
      <c r="J121" s="7" t="s">
        <v>53</v>
      </c>
      <c r="K121" s="3">
        <v>0.77611940298507465</v>
      </c>
      <c r="M121" s="7" t="s">
        <v>53</v>
      </c>
      <c r="N121" s="8">
        <v>30.966666666666665</v>
      </c>
    </row>
    <row r="122" spans="2:14" hidden="1" x14ac:dyDescent="0.25">
      <c r="B122" s="7" t="s">
        <v>54</v>
      </c>
      <c r="C122" s="8">
        <v>1.6630555555555555</v>
      </c>
      <c r="D122" s="8">
        <v>1.0322365124436279</v>
      </c>
      <c r="F122" s="7" t="s">
        <v>54</v>
      </c>
      <c r="G122">
        <v>7</v>
      </c>
      <c r="H122" s="8">
        <v>1.4109589041095891</v>
      </c>
      <c r="J122" s="7" t="s">
        <v>54</v>
      </c>
      <c r="K122" s="3">
        <v>0.76699029126213591</v>
      </c>
      <c r="M122" s="7" t="s">
        <v>54</v>
      </c>
      <c r="N122" s="8">
        <v>14.254761904761905</v>
      </c>
    </row>
    <row r="123" spans="2:14" hidden="1" x14ac:dyDescent="0.25">
      <c r="B123" s="7" t="s">
        <v>55</v>
      </c>
      <c r="C123" s="8">
        <v>1.1713888888888888</v>
      </c>
      <c r="D123" s="8">
        <v>0.98174057386767843</v>
      </c>
      <c r="F123" s="7" t="s">
        <v>55</v>
      </c>
      <c r="G123">
        <v>8</v>
      </c>
      <c r="H123" s="8">
        <v>1.1311475409836065</v>
      </c>
      <c r="J123" s="7" t="s">
        <v>55</v>
      </c>
      <c r="K123" s="3">
        <v>0.85507246376811596</v>
      </c>
      <c r="M123" s="7" t="s">
        <v>55</v>
      </c>
      <c r="N123" s="8">
        <v>8.7854166666666664</v>
      </c>
    </row>
    <row r="124" spans="2:14" hidden="1" x14ac:dyDescent="0.25">
      <c r="B124" s="7" t="s">
        <v>56</v>
      </c>
      <c r="C124" s="8">
        <v>3.4566666666666674</v>
      </c>
      <c r="D124" s="8">
        <v>1.1523625843780134</v>
      </c>
      <c r="F124" s="7" t="s">
        <v>56</v>
      </c>
      <c r="G124">
        <v>8</v>
      </c>
      <c r="H124" s="8">
        <v>1.5031446540880504</v>
      </c>
      <c r="J124" s="7" t="s">
        <v>56</v>
      </c>
      <c r="K124" s="3">
        <v>0.75732217573221761</v>
      </c>
      <c r="M124" s="7" t="s">
        <v>56</v>
      </c>
      <c r="N124" s="8">
        <v>25.925000000000004</v>
      </c>
    </row>
    <row r="125" spans="2:14" hidden="1" x14ac:dyDescent="0.25">
      <c r="B125" s="7" t="s">
        <v>57</v>
      </c>
      <c r="C125" s="8">
        <v>1.3574999999999997</v>
      </c>
      <c r="D125" s="8">
        <v>1.203192142418662</v>
      </c>
      <c r="F125" s="7" t="s">
        <v>57</v>
      </c>
      <c r="G125">
        <v>2</v>
      </c>
      <c r="H125" s="8">
        <v>1.7192982456140351</v>
      </c>
      <c r="J125" s="7" t="s">
        <v>57</v>
      </c>
      <c r="K125" s="3">
        <v>0.74489795918367352</v>
      </c>
      <c r="M125" s="7" t="s">
        <v>57</v>
      </c>
      <c r="N125" s="8">
        <v>40.724999999999994</v>
      </c>
    </row>
    <row r="126" spans="2:14" hidden="1" x14ac:dyDescent="0.25">
      <c r="B126" s="7" t="s">
        <v>58</v>
      </c>
      <c r="C126" s="8">
        <v>0.67305555555555563</v>
      </c>
      <c r="D126" s="8">
        <v>1.2381345439537761</v>
      </c>
      <c r="F126" s="7" t="s">
        <v>58</v>
      </c>
      <c r="G126">
        <v>2</v>
      </c>
      <c r="H126" s="8">
        <v>1.6129032258064515</v>
      </c>
      <c r="J126" s="7" t="s">
        <v>58</v>
      </c>
      <c r="K126" s="3">
        <v>0.74</v>
      </c>
      <c r="M126" s="7" t="s">
        <v>58</v>
      </c>
      <c r="N126" s="8">
        <v>20.19166666666667</v>
      </c>
    </row>
    <row r="127" spans="2:14" hidden="1" x14ac:dyDescent="0.25">
      <c r="B127" s="7" t="s">
        <v>59</v>
      </c>
      <c r="C127" s="8">
        <v>4.8011111111111111</v>
      </c>
      <c r="D127" s="8">
        <v>1.0553112705392271</v>
      </c>
      <c r="F127" s="7" t="s">
        <v>59</v>
      </c>
      <c r="G127">
        <v>9</v>
      </c>
      <c r="H127" s="8">
        <v>1.2459016393442623</v>
      </c>
      <c r="J127" s="7" t="s">
        <v>59</v>
      </c>
      <c r="K127" s="3">
        <v>0.76315789473684215</v>
      </c>
      <c r="M127" s="7" t="s">
        <v>59</v>
      </c>
      <c r="N127" s="8">
        <v>32.007407407407406</v>
      </c>
    </row>
    <row r="128" spans="2:14" hidden="1" x14ac:dyDescent="0.25">
      <c r="B128" s="7" t="s">
        <v>48</v>
      </c>
      <c r="C128" s="8">
        <v>2.3169444444444451</v>
      </c>
      <c r="D128" s="8">
        <v>1.1005874595372254</v>
      </c>
      <c r="F128" s="7" t="s">
        <v>48</v>
      </c>
      <c r="G128">
        <v>8</v>
      </c>
      <c r="H128" s="8">
        <v>1.4036697247706422</v>
      </c>
      <c r="J128" s="7" t="s">
        <v>48</v>
      </c>
      <c r="K128" s="3">
        <v>0.83006535947712423</v>
      </c>
      <c r="M128" s="7" t="s">
        <v>48</v>
      </c>
      <c r="N128" s="8">
        <v>17.377083333333339</v>
      </c>
    </row>
    <row r="129" spans="2:14" hidden="1" x14ac:dyDescent="0.25">
      <c r="B129" s="6" t="s">
        <v>30</v>
      </c>
      <c r="C129" s="8">
        <v>43.342499999999994</v>
      </c>
      <c r="D129" s="8">
        <v>1.1666762800176886</v>
      </c>
      <c r="F129" s="6" t="s">
        <v>30</v>
      </c>
      <c r="G129">
        <v>110</v>
      </c>
      <c r="H129" s="8">
        <v>1.504214179474467</v>
      </c>
      <c r="J129" s="6" t="s">
        <v>30</v>
      </c>
      <c r="K129" s="3">
        <v>0.7705998681608438</v>
      </c>
      <c r="M129" s="6" t="s">
        <v>30</v>
      </c>
      <c r="N129" s="8">
        <v>23.641363636363632</v>
      </c>
    </row>
    <row r="130" spans="2:14" s="47" customFormat="1" x14ac:dyDescent="0.25"/>
    <row r="131" spans="2:14" s="47" customFormat="1" x14ac:dyDescent="0.25"/>
    <row r="132" spans="2:14" s="47" customFormat="1" x14ac:dyDescent="0.25"/>
    <row r="133" spans="2:14" s="47" customFormat="1" x14ac:dyDescent="0.25"/>
    <row r="134" spans="2:14" s="47" customFormat="1" x14ac:dyDescent="0.25"/>
    <row r="135" spans="2:14" s="47" customFormat="1" x14ac:dyDescent="0.25"/>
    <row r="136" spans="2:14" s="47" customFormat="1" x14ac:dyDescent="0.25"/>
    <row r="137" spans="2:14" s="47" customFormat="1" x14ac:dyDescent="0.25"/>
    <row r="138" spans="2:14" s="47" customFormat="1" x14ac:dyDescent="0.25"/>
    <row r="139" spans="2:14" s="47" customFormat="1" x14ac:dyDescent="0.25"/>
    <row r="140" spans="2:14" s="47" customFormat="1" x14ac:dyDescent="0.25"/>
    <row r="141" spans="2:14" s="47" customFormat="1" x14ac:dyDescent="0.25"/>
    <row r="142" spans="2:14" s="47" customFormat="1" x14ac:dyDescent="0.25"/>
    <row r="143" spans="2:14" s="47" customFormat="1" x14ac:dyDescent="0.25"/>
    <row r="144" spans="2:14" s="47" customFormat="1" x14ac:dyDescent="0.25"/>
    <row r="145" s="47" customFormat="1" x14ac:dyDescent="0.25"/>
    <row r="146" s="47" customFormat="1" x14ac:dyDescent="0.25"/>
    <row r="147" s="47" customFormat="1" x14ac:dyDescent="0.25"/>
    <row r="148" s="47" customFormat="1" x14ac:dyDescent="0.25"/>
    <row r="149" s="47" customFormat="1" x14ac:dyDescent="0.25"/>
  </sheetData>
  <sortState xmlns:xlrd2="http://schemas.microsoft.com/office/spreadsheetml/2017/richdata2" ref="E88:Q106">
    <sortCondition ref="F88" customList="January,February,March,April,May,June,July,August,September,October,November,December"/>
  </sortState>
  <conditionalFormatting sqref="B3:E10">
    <cfRule type="expression" dxfId="4" priority="26">
      <formula>MOD(ROW(),2 ) =1</formula>
    </cfRule>
  </conditionalFormatting>
  <conditionalFormatting sqref="H4:J6">
    <cfRule type="colorScale" priority="27">
      <colorScale>
        <cfvo type="min"/>
        <cfvo type="percentile" val="50"/>
        <cfvo type="max"/>
        <color rgb="FFF8696B"/>
        <color rgb="FFFCFCFF"/>
        <color rgb="FF63BE7B"/>
      </colorScale>
    </cfRule>
  </conditionalFormatting>
  <conditionalFormatting sqref="N4:P6">
    <cfRule type="colorScale" priority="28">
      <colorScale>
        <cfvo type="min"/>
        <cfvo type="percentile" val="50"/>
        <cfvo type="max"/>
        <color rgb="FFF8696B"/>
        <color rgb="FFFCFCFF"/>
        <color rgb="FF63BE7B"/>
      </colorScale>
    </cfRule>
  </conditionalFormatting>
  <conditionalFormatting sqref="C58:Z64">
    <cfRule type="colorScale" priority="21">
      <colorScale>
        <cfvo type="min"/>
        <cfvo type="max"/>
        <color rgb="FFFCFCFF"/>
        <color rgb="FF63BE7B"/>
      </colorScale>
    </cfRule>
  </conditionalFormatting>
  <conditionalFormatting sqref="B66:J68">
    <cfRule type="expression" dxfId="3" priority="17">
      <formula>ISODD(COLUMN())</formula>
    </cfRule>
  </conditionalFormatting>
  <conditionalFormatting pivot="1" sqref="G90:G92 G95:G104">
    <cfRule type="dataBar" priority="15">
      <dataBar>
        <cfvo type="min"/>
        <cfvo type="max"/>
        <color rgb="FF638EC6"/>
      </dataBar>
      <extLst>
        <ext xmlns:x14="http://schemas.microsoft.com/office/spreadsheetml/2009/9/main" uri="{B025F937-C7B1-47D3-B67F-A62EFF666E3E}">
          <x14:id>{B01B950F-3170-4E22-949F-4992D9475094}</x14:id>
        </ext>
      </extLst>
    </cfRule>
  </conditionalFormatting>
  <conditionalFormatting pivot="1" sqref="M90:M92 M95:M104">
    <cfRule type="dataBar" priority="13">
      <dataBar>
        <cfvo type="min"/>
        <cfvo type="max"/>
        <color rgb="FF638EC6"/>
      </dataBar>
      <extLst>
        <ext xmlns:x14="http://schemas.microsoft.com/office/spreadsheetml/2009/9/main" uri="{B025F937-C7B1-47D3-B67F-A62EFF666E3E}">
          <x14:id>{63E15A6D-2CE0-44AD-A3A4-597DFF17183B}</x14:id>
        </ext>
      </extLst>
    </cfRule>
  </conditionalFormatting>
  <conditionalFormatting pivot="1" sqref="K89:K106">
    <cfRule type="cellIs" dxfId="2" priority="12" operator="lessThan">
      <formula>0</formula>
    </cfRule>
  </conditionalFormatting>
  <conditionalFormatting pivot="1" sqref="O90:O92 O95:O104">
    <cfRule type="colorScale" priority="10">
      <colorScale>
        <cfvo type="min"/>
        <cfvo type="percentile" val="50"/>
        <cfvo type="max"/>
        <color rgb="FFF8696B"/>
        <color rgb="FFFCFCFF"/>
        <color rgb="FF63BE7B"/>
      </colorScale>
    </cfRule>
  </conditionalFormatting>
  <conditionalFormatting pivot="1" sqref="P90:P92 P95:P104">
    <cfRule type="colorScale" priority="9">
      <colorScale>
        <cfvo type="min"/>
        <cfvo type="percentile" val="50"/>
        <cfvo type="max"/>
        <color rgb="FFF8696B"/>
        <color rgb="FFFCFCFF"/>
        <color rgb="FF63BE7B"/>
      </colorScale>
    </cfRule>
  </conditionalFormatting>
  <conditionalFormatting pivot="1" sqref="S90:S92 S95:S104">
    <cfRule type="colorScale" priority="8">
      <colorScale>
        <cfvo type="min"/>
        <cfvo type="percentile" val="50"/>
        <cfvo type="max"/>
        <color rgb="FFF8696B"/>
        <color rgb="FFFCFCFF"/>
        <color rgb="FF63BE7B"/>
      </colorScale>
    </cfRule>
  </conditionalFormatting>
  <conditionalFormatting pivot="1" sqref="U90:U92 U95:U104">
    <cfRule type="colorScale" priority="7">
      <colorScale>
        <cfvo type="min"/>
        <cfvo type="percentile" val="50"/>
        <cfvo type="max"/>
        <color rgb="FFF8696B"/>
        <color rgb="FFFCFCFF"/>
        <color rgb="FF63BE7B"/>
      </colorScale>
    </cfRule>
  </conditionalFormatting>
  <conditionalFormatting pivot="1" sqref="K90:K92 K95:K104">
    <cfRule type="cellIs" dxfId="1" priority="6" operator="greaterThan">
      <formula>0</formula>
    </cfRule>
  </conditionalFormatting>
  <conditionalFormatting sqref="C49:Z55">
    <cfRule type="colorScale" priority="2">
      <colorScale>
        <cfvo type="min"/>
        <cfvo type="percentile" val="50"/>
        <cfvo type="max"/>
        <color theme="0"/>
        <color rgb="FFFCFCFF"/>
        <color rgb="FF5A8AC6"/>
      </colorScale>
    </cfRule>
  </conditionalFormatting>
  <conditionalFormatting pivot="1" sqref="J90:J92 J95:J104">
    <cfRule type="colorScale" priority="1">
      <colorScale>
        <cfvo type="min"/>
        <cfvo type="percentile" val="50"/>
        <cfvo type="max"/>
        <color rgb="FF63BE7B"/>
        <color rgb="FFFCFCFF"/>
        <color rgb="FFF8696B"/>
      </colorScale>
    </cfRule>
  </conditionalFormatting>
  <pageMargins left="0.25" right="0.25" top="0.75" bottom="0.75" header="0.3" footer="0.3"/>
  <pageSetup paperSize="3" scale="73" fitToHeight="0" orientation="landscape" r:id="rId6"/>
  <drawing r:id="rId7"/>
  <extLst>
    <ext xmlns:x14="http://schemas.microsoft.com/office/spreadsheetml/2009/9/main" uri="{78C0D931-6437-407d-A8EE-F0AAD7539E65}">
      <x14:conditionalFormattings>
        <x14:conditionalFormatting xmlns:xm="http://schemas.microsoft.com/office/excel/2006/main" pivot="1">
          <x14:cfRule type="dataBar" id="{B01B950F-3170-4E22-949F-4992D9475094}">
            <x14:dataBar minLength="0" maxLength="100" border="1" negativeBarBorderColorSameAsPositive="0">
              <x14:cfvo type="autoMin"/>
              <x14:cfvo type="autoMax"/>
              <x14:borderColor rgb="FF638EC6"/>
              <x14:negativeFillColor rgb="FFFF0000"/>
              <x14:negativeBorderColor rgb="FFFF0000"/>
              <x14:axisColor rgb="FF000000"/>
            </x14:dataBar>
          </x14:cfRule>
          <xm:sqref>G90:G92 G95:G104</xm:sqref>
        </x14:conditionalFormatting>
        <x14:conditionalFormatting xmlns:xm="http://schemas.microsoft.com/office/excel/2006/main" pivot="1">
          <x14:cfRule type="dataBar" id="{63E15A6D-2CE0-44AD-A3A4-597DFF17183B}">
            <x14:dataBar minLength="0" maxLength="100" border="1" negativeBarBorderColorSameAsPositive="0">
              <x14:cfvo type="autoMin"/>
              <x14:cfvo type="autoMax"/>
              <x14:borderColor rgb="FF638EC6"/>
              <x14:negativeFillColor rgb="FFFF0000"/>
              <x14:negativeBorderColor rgb="FFFF0000"/>
              <x14:axisColor rgb="FF000000"/>
            </x14:dataBar>
          </x14:cfRule>
          <xm:sqref>M90:M92 M95:M104</xm:sqref>
        </x14:conditionalFormatting>
      </x14:conditionalFormattings>
    </ex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3223-1B14-4651-8197-42C707AF5F8C}">
  <dimension ref="A1:Q111"/>
  <sheetViews>
    <sheetView topLeftCell="A62" workbookViewId="0">
      <selection activeCell="D110" sqref="D110"/>
    </sheetView>
  </sheetViews>
  <sheetFormatPr defaultRowHeight="15" x14ac:dyDescent="0.25"/>
  <cols>
    <col min="1" max="1" width="9.5703125" bestFit="1" customWidth="1"/>
    <col min="2" max="2" width="21" bestFit="1" customWidth="1"/>
    <col min="3" max="3" width="11.7109375" bestFit="1" customWidth="1"/>
    <col min="4" max="4" width="14.85546875" bestFit="1" customWidth="1"/>
    <col min="5" max="5" width="14.85546875" customWidth="1"/>
    <col min="6" max="6" width="11.42578125" bestFit="1" customWidth="1"/>
    <col min="7" max="7" width="9.42578125" bestFit="1" customWidth="1"/>
    <col min="8" max="8" width="12" bestFit="1" customWidth="1"/>
    <col min="9" max="9" width="13.42578125" bestFit="1" customWidth="1"/>
    <col min="10" max="10" width="14.42578125" bestFit="1" customWidth="1"/>
    <col min="11" max="11" width="12.28515625" bestFit="1" customWidth="1"/>
    <col min="12" max="12" width="15" bestFit="1" customWidth="1"/>
    <col min="13" max="13" width="16.28515625" bestFit="1" customWidth="1"/>
    <col min="14" max="14" width="20.5703125" bestFit="1" customWidth="1"/>
    <col min="15" max="15" width="18.5703125" bestFit="1" customWidth="1"/>
    <col min="16" max="16" width="21.140625" bestFit="1" customWidth="1"/>
    <col min="17" max="17" width="22.5703125" bestFit="1" customWidth="1"/>
  </cols>
  <sheetData>
    <row r="1" spans="1:17" x14ac:dyDescent="0.25">
      <c r="A1" s="2" t="s">
        <v>14</v>
      </c>
      <c r="B1" s="2" t="s">
        <v>6</v>
      </c>
      <c r="C1" s="2" t="s">
        <v>16</v>
      </c>
      <c r="D1" s="2" t="s">
        <v>17</v>
      </c>
      <c r="E1" s="2" t="s">
        <v>20</v>
      </c>
      <c r="F1" s="2" t="str" cm="1">
        <f t="array" ref="F1:I1">TRANSPOSE( _xlfn.UNIQUE(A2:A111) &amp; "_kdr" )</f>
        <v>Evening_kdr</v>
      </c>
      <c r="G1" s="2" t="str">
        <v>Night_kdr</v>
      </c>
      <c r="H1" s="2" t="str">
        <v>Morning_kdr</v>
      </c>
      <c r="I1" s="2" t="str">
        <v>Afternoon_kdr</v>
      </c>
      <c r="J1" s="2" t="str" cm="1">
        <f t="array" ref="J1:M1">TRANSPOSE( _xlfn.UNIQUE(A2:A111) &amp; "_hs_pct" )</f>
        <v>Evening_hs_pct</v>
      </c>
      <c r="K1" s="2" t="str">
        <v>Night_hs_pct</v>
      </c>
      <c r="L1" s="2" t="str">
        <v>Morning_hs_pct</v>
      </c>
      <c r="M1" s="2" t="str">
        <v>Afternoon_hs_pct</v>
      </c>
      <c r="N1" s="2" t="str" cm="1">
        <f t="array" ref="N1:Q1">TRANSPOSE( _xlfn.UNIQUE(A2:A111) &amp; "_kills_per_min" )</f>
        <v>Evening_kills_per_min</v>
      </c>
      <c r="O1" s="2" t="str">
        <v>Night_kills_per_min</v>
      </c>
      <c r="P1" s="2" t="str">
        <v>Morning_kills_per_min</v>
      </c>
      <c r="Q1" s="2" t="str">
        <v>Afternoon_kills_per_min</v>
      </c>
    </row>
    <row r="2" spans="1:17" x14ac:dyDescent="0.25">
      <c r="A2" t="str" cm="1">
        <f t="array" ref="A2">_xlfn.SWITCH(TRUE, AND(data[[#This Row],[hour]]&gt;=6, data[[#This Row],[hour]]&lt;=11), "Morning", AND(data[[#This Row],[hour]]&gt;=12, data[[#This Row],[hour]]&lt;=17), "Afternoon", AND(data[[#This Row],[hour]]&gt;=18, data[[#This Row],[hour]]&lt;=23), "Evening", TRUE, "Night")</f>
        <v>Evening</v>
      </c>
      <c r="B2">
        <v>26.483333333333334</v>
      </c>
      <c r="C2">
        <f>IFERROR( ROUND(data[[#This Row],[kills]]/data[[#This Row],[deaths]],2), 0)</f>
        <v>1.37</v>
      </c>
      <c r="D2">
        <f>IFERROR( ROUND(data[[#This Row],[headshots]]/data[[#This Row],[kills]]*100,2),0)</f>
        <v>76.92</v>
      </c>
      <c r="E2">
        <f>ROUND(data[[#This Row],[kills]]/data[[#This Row],[session_duration_min]],2)</f>
        <v>0.98</v>
      </c>
      <c r="F2" cm="1">
        <f t="array" ref="F2:I111">IF(A2:A111=TRANSPOSE(_xlfn.UNIQUE(A2:A111)),C2:C111,-1)</f>
        <v>1.37</v>
      </c>
      <c r="G2">
        <v>-1</v>
      </c>
      <c r="H2">
        <v>-1</v>
      </c>
      <c r="I2">
        <v>-1</v>
      </c>
      <c r="J2" cm="1">
        <f t="array" ref="J2:M111">IF(A2:A111=TRANSPOSE(_xlfn.UNIQUE(A2:A111)),D2:D111,-1)</f>
        <v>76.92</v>
      </c>
      <c r="K2">
        <v>-1</v>
      </c>
      <c r="L2">
        <v>-1</v>
      </c>
      <c r="M2">
        <v>-1</v>
      </c>
      <c r="N2" cm="1">
        <f t="array" ref="N2:Q111">IF(A2:A111=TRANSPOSE(_xlfn.UNIQUE(A2:A111)),E2:E111,-1)</f>
        <v>0.98</v>
      </c>
      <c r="O2">
        <v>-1</v>
      </c>
      <c r="P2">
        <v>-1</v>
      </c>
      <c r="Q2">
        <v>-1</v>
      </c>
    </row>
    <row r="3" spans="1:17" x14ac:dyDescent="0.25">
      <c r="A3" t="str" cm="1">
        <f t="array" ref="A3">_xlfn.SWITCH(TRUE, AND(data[[#This Row],[hour]]&gt;=6, data[[#This Row],[hour]]&lt;=11), "Morning", AND(data[[#This Row],[hour]]&gt;=12, data[[#This Row],[hour]]&lt;=17), "Afternoon", AND(data[[#This Row],[hour]]&gt;=18, data[[#This Row],[hour]]&lt;=23), "Evening", TRUE, "Night")</f>
        <v>Night</v>
      </c>
      <c r="B3">
        <v>52.7</v>
      </c>
      <c r="C3">
        <f>IFERROR( ROUND(data[[#This Row],[kills]]/data[[#This Row],[deaths]],2), 0)</f>
        <v>1.81</v>
      </c>
      <c r="D3">
        <f>IFERROR( ROUND(data[[#This Row],[headshots]]/data[[#This Row],[kills]]*100,2),0)</f>
        <v>80.260000000000005</v>
      </c>
      <c r="E3">
        <f>ROUND(data[[#This Row],[kills]]/data[[#This Row],[session_duration_min]],2)</f>
        <v>1.44</v>
      </c>
      <c r="F3">
        <v>-1</v>
      </c>
      <c r="G3">
        <v>1.81</v>
      </c>
      <c r="H3">
        <v>-1</v>
      </c>
      <c r="I3">
        <v>-1</v>
      </c>
      <c r="J3">
        <v>-1</v>
      </c>
      <c r="K3">
        <v>80.260000000000005</v>
      </c>
      <c r="L3">
        <v>-1</v>
      </c>
      <c r="M3">
        <v>-1</v>
      </c>
      <c r="N3">
        <v>-1</v>
      </c>
      <c r="O3">
        <v>1.44</v>
      </c>
      <c r="P3">
        <v>-1</v>
      </c>
      <c r="Q3">
        <v>-1</v>
      </c>
    </row>
    <row r="4" spans="1:17" x14ac:dyDescent="0.25">
      <c r="A4" t="str" cm="1">
        <f t="array" ref="A4">_xlfn.SWITCH(TRUE, AND(data[[#This Row],[hour]]&gt;=6, data[[#This Row],[hour]]&lt;=11), "Morning", AND(data[[#This Row],[hour]]&gt;=12, data[[#This Row],[hour]]&lt;=17), "Afternoon", AND(data[[#This Row],[hour]]&gt;=18, data[[#This Row],[hour]]&lt;=23), "Evening", TRUE, "Night")</f>
        <v>Morning</v>
      </c>
      <c r="B4">
        <v>3.0166666666666666</v>
      </c>
      <c r="C4">
        <f>IFERROR( ROUND(data[[#This Row],[kills]]/data[[#This Row],[deaths]],2), 0)</f>
        <v>1</v>
      </c>
      <c r="D4">
        <f>IFERROR( ROUND(data[[#This Row],[headshots]]/data[[#This Row],[kills]]*100,2),0)</f>
        <v>100</v>
      </c>
      <c r="E4">
        <f>ROUND(data[[#This Row],[kills]]/data[[#This Row],[session_duration_min]],2)</f>
        <v>0.66</v>
      </c>
      <c r="F4">
        <v>-1</v>
      </c>
      <c r="G4">
        <v>-1</v>
      </c>
      <c r="H4">
        <v>1</v>
      </c>
      <c r="I4">
        <v>-1</v>
      </c>
      <c r="J4">
        <v>-1</v>
      </c>
      <c r="K4">
        <v>-1</v>
      </c>
      <c r="L4">
        <v>100</v>
      </c>
      <c r="M4">
        <v>-1</v>
      </c>
      <c r="N4">
        <v>-1</v>
      </c>
      <c r="O4">
        <v>-1</v>
      </c>
      <c r="P4">
        <v>0.66</v>
      </c>
      <c r="Q4">
        <v>-1</v>
      </c>
    </row>
    <row r="5" spans="1:17" x14ac:dyDescent="0.25">
      <c r="A5" t="str" cm="1">
        <f t="array" ref="A5">_xlfn.SWITCH(TRUE, AND(data[[#This Row],[hour]]&gt;=6, data[[#This Row],[hour]]&lt;=11), "Morning", AND(data[[#This Row],[hour]]&gt;=12, data[[#This Row],[hour]]&lt;=17), "Afternoon", AND(data[[#This Row],[hour]]&gt;=18, data[[#This Row],[hour]]&lt;=23), "Evening", TRUE, "Night")</f>
        <v>Afternoon</v>
      </c>
      <c r="B5">
        <v>37.049999999999997</v>
      </c>
      <c r="C5">
        <f>IFERROR( ROUND(data[[#This Row],[kills]]/data[[#This Row],[deaths]],2), 0)</f>
        <v>2.21</v>
      </c>
      <c r="D5">
        <f>IFERROR( ROUND(data[[#This Row],[headshots]]/data[[#This Row],[kills]]*100,2),0)</f>
        <v>81.13</v>
      </c>
      <c r="E5">
        <f>ROUND(data[[#This Row],[kills]]/data[[#This Row],[session_duration_min]],2)</f>
        <v>1.43</v>
      </c>
      <c r="F5">
        <v>-1</v>
      </c>
      <c r="G5">
        <v>-1</v>
      </c>
      <c r="H5">
        <v>-1</v>
      </c>
      <c r="I5">
        <v>2.21</v>
      </c>
      <c r="J5">
        <v>-1</v>
      </c>
      <c r="K5">
        <v>-1</v>
      </c>
      <c r="L5">
        <v>-1</v>
      </c>
      <c r="M5">
        <v>81.13</v>
      </c>
      <c r="N5">
        <v>-1</v>
      </c>
      <c r="O5">
        <v>-1</v>
      </c>
      <c r="P5">
        <v>-1</v>
      </c>
      <c r="Q5">
        <v>1.43</v>
      </c>
    </row>
    <row r="6" spans="1:17" x14ac:dyDescent="0.25">
      <c r="A6" t="str" cm="1">
        <f t="array" ref="A6">_xlfn.SWITCH(TRUE, AND(data[[#This Row],[hour]]&gt;=6, data[[#This Row],[hour]]&lt;=11), "Morning", AND(data[[#This Row],[hour]]&gt;=12, data[[#This Row],[hour]]&lt;=17), "Afternoon", AND(data[[#This Row],[hour]]&gt;=18, data[[#This Row],[hour]]&lt;=23), "Evening", TRUE, "Night")</f>
        <v>Afternoon</v>
      </c>
      <c r="B6">
        <v>36.133333333333333</v>
      </c>
      <c r="C6">
        <f>IFERROR( ROUND(data[[#This Row],[kills]]/data[[#This Row],[deaths]],2), 0)</f>
        <v>1.03</v>
      </c>
      <c r="D6">
        <f>IFERROR( ROUND(data[[#This Row],[headshots]]/data[[#This Row],[kills]]*100,2),0)</f>
        <v>73.53</v>
      </c>
      <c r="E6">
        <f>ROUND(data[[#This Row],[kills]]/data[[#This Row],[session_duration_min]],2)</f>
        <v>0.94</v>
      </c>
      <c r="F6">
        <v>-1</v>
      </c>
      <c r="G6">
        <v>-1</v>
      </c>
      <c r="H6">
        <v>-1</v>
      </c>
      <c r="I6">
        <v>1.03</v>
      </c>
      <c r="J6">
        <v>-1</v>
      </c>
      <c r="K6">
        <v>-1</v>
      </c>
      <c r="L6">
        <v>-1</v>
      </c>
      <c r="M6">
        <v>73.53</v>
      </c>
      <c r="N6">
        <v>-1</v>
      </c>
      <c r="O6">
        <v>-1</v>
      </c>
      <c r="P6">
        <v>-1</v>
      </c>
      <c r="Q6">
        <v>0.94</v>
      </c>
    </row>
    <row r="7" spans="1:17" x14ac:dyDescent="0.25">
      <c r="A7" t="str" cm="1">
        <f t="array" ref="A7">_xlfn.SWITCH(TRUE, AND(data[[#This Row],[hour]]&gt;=6, data[[#This Row],[hour]]&lt;=11), "Morning", AND(data[[#This Row],[hour]]&gt;=12, data[[#This Row],[hour]]&lt;=17), "Afternoon", AND(data[[#This Row],[hour]]&gt;=18, data[[#This Row],[hour]]&lt;=23), "Evening", TRUE, "Night")</f>
        <v>Evening</v>
      </c>
      <c r="B7">
        <v>57.766666666666666</v>
      </c>
      <c r="C7">
        <f>IFERROR( ROUND(data[[#This Row],[kills]]/data[[#This Row],[deaths]],2), 0)</f>
        <v>1.67</v>
      </c>
      <c r="D7">
        <f>IFERROR( ROUND(data[[#This Row],[headshots]]/data[[#This Row],[kills]]*100,2),0)</f>
        <v>75</v>
      </c>
      <c r="E7">
        <f>ROUND(data[[#This Row],[kills]]/data[[#This Row],[session_duration_min]],2)</f>
        <v>1.38</v>
      </c>
      <c r="F7">
        <v>1.67</v>
      </c>
      <c r="G7">
        <v>-1</v>
      </c>
      <c r="H7">
        <v>-1</v>
      </c>
      <c r="I7">
        <v>-1</v>
      </c>
      <c r="J7">
        <v>75</v>
      </c>
      <c r="K7">
        <v>-1</v>
      </c>
      <c r="L7">
        <v>-1</v>
      </c>
      <c r="M7">
        <v>-1</v>
      </c>
      <c r="N7">
        <v>1.38</v>
      </c>
      <c r="O7">
        <v>-1</v>
      </c>
      <c r="P7">
        <v>-1</v>
      </c>
      <c r="Q7">
        <v>-1</v>
      </c>
    </row>
    <row r="8" spans="1:17" x14ac:dyDescent="0.25">
      <c r="A8" t="str" cm="1">
        <f t="array" ref="A8">_xlfn.SWITCH(TRUE, AND(data[[#This Row],[hour]]&gt;=6, data[[#This Row],[hour]]&lt;=11), "Morning", AND(data[[#This Row],[hour]]&gt;=12, data[[#This Row],[hour]]&lt;=17), "Afternoon", AND(data[[#This Row],[hour]]&gt;=18, data[[#This Row],[hour]]&lt;=23), "Evening", TRUE, "Night")</f>
        <v>Evening</v>
      </c>
      <c r="B8">
        <v>3.65</v>
      </c>
      <c r="C8">
        <f>IFERROR( ROUND(data[[#This Row],[kills]]/data[[#This Row],[deaths]],2), 0)</f>
        <v>0</v>
      </c>
      <c r="D8">
        <f>IFERROR( ROUND(data[[#This Row],[headshots]]/data[[#This Row],[kills]]*100,2),0)</f>
        <v>0</v>
      </c>
      <c r="E8">
        <f>ROUND(data[[#This Row],[kills]]/data[[#This Row],[session_duration_min]],2)</f>
        <v>0</v>
      </c>
      <c r="F8">
        <v>0</v>
      </c>
      <c r="G8">
        <v>-1</v>
      </c>
      <c r="H8">
        <v>-1</v>
      </c>
      <c r="I8">
        <v>-1</v>
      </c>
      <c r="J8">
        <v>0</v>
      </c>
      <c r="K8">
        <v>-1</v>
      </c>
      <c r="L8">
        <v>-1</v>
      </c>
      <c r="M8">
        <v>-1</v>
      </c>
      <c r="N8">
        <v>0</v>
      </c>
      <c r="O8">
        <v>-1</v>
      </c>
      <c r="P8">
        <v>-1</v>
      </c>
      <c r="Q8">
        <v>-1</v>
      </c>
    </row>
    <row r="9" spans="1:17" x14ac:dyDescent="0.25">
      <c r="A9" t="str" cm="1">
        <f t="array" ref="A9">_xlfn.SWITCH(TRUE, AND(data[[#This Row],[hour]]&gt;=6, data[[#This Row],[hour]]&lt;=11), "Morning", AND(data[[#This Row],[hour]]&gt;=12, data[[#This Row],[hour]]&lt;=17), "Afternoon", AND(data[[#This Row],[hour]]&gt;=18, data[[#This Row],[hour]]&lt;=23), "Evening", TRUE, "Night")</f>
        <v>Evening</v>
      </c>
      <c r="B9">
        <v>4.9833333333333334</v>
      </c>
      <c r="C9">
        <f>IFERROR( ROUND(data[[#This Row],[kills]]/data[[#This Row],[deaths]],2), 0)</f>
        <v>1</v>
      </c>
      <c r="D9">
        <f>IFERROR( ROUND(data[[#This Row],[headshots]]/data[[#This Row],[kills]]*100,2),0)</f>
        <v>100</v>
      </c>
      <c r="E9">
        <f>ROUND(data[[#This Row],[kills]]/data[[#This Row],[session_duration_min]],2)</f>
        <v>0.4</v>
      </c>
      <c r="F9">
        <v>1</v>
      </c>
      <c r="G9">
        <v>-1</v>
      </c>
      <c r="H9">
        <v>-1</v>
      </c>
      <c r="I9">
        <v>-1</v>
      </c>
      <c r="J9">
        <v>100</v>
      </c>
      <c r="K9">
        <v>-1</v>
      </c>
      <c r="L9">
        <v>-1</v>
      </c>
      <c r="M9">
        <v>-1</v>
      </c>
      <c r="N9">
        <v>0.4</v>
      </c>
      <c r="O9">
        <v>-1</v>
      </c>
      <c r="P9">
        <v>-1</v>
      </c>
      <c r="Q9">
        <v>-1</v>
      </c>
    </row>
    <row r="10" spans="1:17" x14ac:dyDescent="0.25">
      <c r="A10" t="str" cm="1">
        <f t="array" ref="A10">_xlfn.SWITCH(TRUE, AND(data[[#This Row],[hour]]&gt;=6, data[[#This Row],[hour]]&lt;=11), "Morning", AND(data[[#This Row],[hour]]&gt;=12, data[[#This Row],[hour]]&lt;=17), "Afternoon", AND(data[[#This Row],[hour]]&gt;=18, data[[#This Row],[hour]]&lt;=23), "Evening", TRUE, "Night")</f>
        <v>Evening</v>
      </c>
      <c r="B10">
        <v>47.866666666666667</v>
      </c>
      <c r="C10">
        <f>IFERROR( ROUND(data[[#This Row],[kills]]/data[[#This Row],[deaths]],2), 0)</f>
        <v>1.23</v>
      </c>
      <c r="D10">
        <f>IFERROR( ROUND(data[[#This Row],[headshots]]/data[[#This Row],[kills]]*100,2),0)</f>
        <v>67.92</v>
      </c>
      <c r="E10">
        <f>ROUND(data[[#This Row],[kills]]/data[[#This Row],[session_duration_min]],2)</f>
        <v>1.1100000000000001</v>
      </c>
      <c r="F10">
        <v>1.23</v>
      </c>
      <c r="G10">
        <v>-1</v>
      </c>
      <c r="H10">
        <v>-1</v>
      </c>
      <c r="I10">
        <v>-1</v>
      </c>
      <c r="J10">
        <v>67.92</v>
      </c>
      <c r="K10">
        <v>-1</v>
      </c>
      <c r="L10">
        <v>-1</v>
      </c>
      <c r="M10">
        <v>-1</v>
      </c>
      <c r="N10">
        <v>1.1100000000000001</v>
      </c>
      <c r="O10">
        <v>-1</v>
      </c>
      <c r="P10">
        <v>-1</v>
      </c>
      <c r="Q10">
        <v>-1</v>
      </c>
    </row>
    <row r="11" spans="1:17" x14ac:dyDescent="0.25">
      <c r="A11" t="str" cm="1">
        <f t="array" ref="A11">_xlfn.SWITCH(TRUE, AND(data[[#This Row],[hour]]&gt;=6, data[[#This Row],[hour]]&lt;=11), "Morning", AND(data[[#This Row],[hour]]&gt;=12, data[[#This Row],[hour]]&lt;=17), "Afternoon", AND(data[[#This Row],[hour]]&gt;=18, data[[#This Row],[hour]]&lt;=23), "Evening", TRUE, "Night")</f>
        <v>Evening</v>
      </c>
      <c r="B11">
        <v>3.0333333333333332</v>
      </c>
      <c r="C11">
        <f>IFERROR( ROUND(data[[#This Row],[kills]]/data[[#This Row],[deaths]],2), 0)</f>
        <v>0</v>
      </c>
      <c r="D11">
        <f>IFERROR( ROUND(data[[#This Row],[headshots]]/data[[#This Row],[kills]]*100,2),0)</f>
        <v>100</v>
      </c>
      <c r="E11">
        <f>ROUND(data[[#This Row],[kills]]/data[[#This Row],[session_duration_min]],2)</f>
        <v>0.66</v>
      </c>
      <c r="F11">
        <v>0</v>
      </c>
      <c r="G11">
        <v>-1</v>
      </c>
      <c r="H11">
        <v>-1</v>
      </c>
      <c r="I11">
        <v>-1</v>
      </c>
      <c r="J11">
        <v>100</v>
      </c>
      <c r="K11">
        <v>-1</v>
      </c>
      <c r="L11">
        <v>-1</v>
      </c>
      <c r="M11">
        <v>-1</v>
      </c>
      <c r="N11">
        <v>0.66</v>
      </c>
      <c r="O11">
        <v>-1</v>
      </c>
      <c r="P11">
        <v>-1</v>
      </c>
      <c r="Q11">
        <v>-1</v>
      </c>
    </row>
    <row r="12" spans="1:17" x14ac:dyDescent="0.25">
      <c r="A12" t="str" cm="1">
        <f t="array" ref="A12">_xlfn.SWITCH(TRUE, AND(data[[#This Row],[hour]]&gt;=6, data[[#This Row],[hour]]&lt;=11), "Morning", AND(data[[#This Row],[hour]]&gt;=12, data[[#This Row],[hour]]&lt;=17), "Afternoon", AND(data[[#This Row],[hour]]&gt;=18, data[[#This Row],[hour]]&lt;=23), "Evening", TRUE, "Night")</f>
        <v>Afternoon</v>
      </c>
      <c r="B12">
        <v>18.399999999999999</v>
      </c>
      <c r="C12">
        <f>IFERROR( ROUND(data[[#This Row],[kills]]/data[[#This Row],[deaths]],2), 0)</f>
        <v>1.57</v>
      </c>
      <c r="D12">
        <f>IFERROR( ROUND(data[[#This Row],[headshots]]/data[[#This Row],[kills]]*100,2),0)</f>
        <v>72.73</v>
      </c>
      <c r="E12">
        <f>ROUND(data[[#This Row],[kills]]/data[[#This Row],[session_duration_min]],2)</f>
        <v>1.2</v>
      </c>
      <c r="F12">
        <v>-1</v>
      </c>
      <c r="G12">
        <v>-1</v>
      </c>
      <c r="H12">
        <v>-1</v>
      </c>
      <c r="I12">
        <v>1.57</v>
      </c>
      <c r="J12">
        <v>-1</v>
      </c>
      <c r="K12">
        <v>-1</v>
      </c>
      <c r="L12">
        <v>-1</v>
      </c>
      <c r="M12">
        <v>72.73</v>
      </c>
      <c r="N12">
        <v>-1</v>
      </c>
      <c r="O12">
        <v>-1</v>
      </c>
      <c r="P12">
        <v>-1</v>
      </c>
      <c r="Q12">
        <v>1.2</v>
      </c>
    </row>
    <row r="13" spans="1:17" x14ac:dyDescent="0.25">
      <c r="A13" t="str" cm="1">
        <f t="array" ref="A13">_xlfn.SWITCH(TRUE, AND(data[[#This Row],[hour]]&gt;=6, data[[#This Row],[hour]]&lt;=11), "Morning", AND(data[[#This Row],[hour]]&gt;=12, data[[#This Row],[hour]]&lt;=17), "Afternoon", AND(data[[#This Row],[hour]]&gt;=18, data[[#This Row],[hour]]&lt;=23), "Evening", TRUE, "Night")</f>
        <v>Evening</v>
      </c>
      <c r="B13">
        <v>61.7</v>
      </c>
      <c r="C13">
        <f>IFERROR( ROUND(data[[#This Row],[kills]]/data[[#This Row],[deaths]],2), 0)</f>
        <v>1.26</v>
      </c>
      <c r="D13">
        <f>IFERROR( ROUND(data[[#This Row],[headshots]]/data[[#This Row],[kills]]*100,2),0)</f>
        <v>79.22</v>
      </c>
      <c r="E13">
        <f>ROUND(data[[#This Row],[kills]]/data[[#This Row],[session_duration_min]],2)</f>
        <v>1.25</v>
      </c>
      <c r="F13">
        <v>1.26</v>
      </c>
      <c r="G13">
        <v>-1</v>
      </c>
      <c r="H13">
        <v>-1</v>
      </c>
      <c r="I13">
        <v>-1</v>
      </c>
      <c r="J13">
        <v>79.22</v>
      </c>
      <c r="K13">
        <v>-1</v>
      </c>
      <c r="L13">
        <v>-1</v>
      </c>
      <c r="M13">
        <v>-1</v>
      </c>
      <c r="N13">
        <v>1.25</v>
      </c>
      <c r="O13">
        <v>-1</v>
      </c>
      <c r="P13">
        <v>-1</v>
      </c>
      <c r="Q13">
        <v>-1</v>
      </c>
    </row>
    <row r="14" spans="1:17" x14ac:dyDescent="0.25">
      <c r="A14" t="str" cm="1">
        <f t="array" ref="A14">_xlfn.SWITCH(TRUE, AND(data[[#This Row],[hour]]&gt;=6, data[[#This Row],[hour]]&lt;=11), "Morning", AND(data[[#This Row],[hour]]&gt;=12, data[[#This Row],[hour]]&lt;=17), "Afternoon", AND(data[[#This Row],[hour]]&gt;=18, data[[#This Row],[hour]]&lt;=23), "Evening", TRUE, "Night")</f>
        <v>Night</v>
      </c>
      <c r="B14">
        <v>6.3</v>
      </c>
      <c r="C14">
        <f>IFERROR( ROUND(data[[#This Row],[kills]]/data[[#This Row],[deaths]],2), 0)</f>
        <v>1</v>
      </c>
      <c r="D14">
        <f>IFERROR( ROUND(data[[#This Row],[headshots]]/data[[#This Row],[kills]]*100,2),0)</f>
        <v>100</v>
      </c>
      <c r="E14">
        <f>ROUND(data[[#This Row],[kills]]/data[[#This Row],[session_duration_min]],2)</f>
        <v>0.95</v>
      </c>
      <c r="F14">
        <v>-1</v>
      </c>
      <c r="G14">
        <v>1</v>
      </c>
      <c r="H14">
        <v>-1</v>
      </c>
      <c r="I14">
        <v>-1</v>
      </c>
      <c r="J14">
        <v>-1</v>
      </c>
      <c r="K14">
        <v>100</v>
      </c>
      <c r="L14">
        <v>-1</v>
      </c>
      <c r="M14">
        <v>-1</v>
      </c>
      <c r="N14">
        <v>-1</v>
      </c>
      <c r="O14">
        <v>0.95</v>
      </c>
      <c r="P14">
        <v>-1</v>
      </c>
      <c r="Q14">
        <v>-1</v>
      </c>
    </row>
    <row r="15" spans="1:17" x14ac:dyDescent="0.25">
      <c r="A15" t="str" cm="1">
        <f t="array" ref="A15">_xlfn.SWITCH(TRUE, AND(data[[#This Row],[hour]]&gt;=6, data[[#This Row],[hour]]&lt;=11), "Morning", AND(data[[#This Row],[hour]]&gt;=12, data[[#This Row],[hour]]&lt;=17), "Afternoon", AND(data[[#This Row],[hour]]&gt;=18, data[[#This Row],[hour]]&lt;=23), "Evening", TRUE, "Night")</f>
        <v>Evening</v>
      </c>
      <c r="B15">
        <v>29.8</v>
      </c>
      <c r="C15">
        <f>IFERROR( ROUND(data[[#This Row],[kills]]/data[[#This Row],[deaths]],2), 0)</f>
        <v>3.23</v>
      </c>
      <c r="D15">
        <f>IFERROR( ROUND(data[[#This Row],[headshots]]/data[[#This Row],[kills]]*100,2),0)</f>
        <v>76.19</v>
      </c>
      <c r="E15">
        <f>ROUND(data[[#This Row],[kills]]/data[[#This Row],[session_duration_min]],2)</f>
        <v>1.41</v>
      </c>
      <c r="F15">
        <v>3.23</v>
      </c>
      <c r="G15">
        <v>-1</v>
      </c>
      <c r="H15">
        <v>-1</v>
      </c>
      <c r="I15">
        <v>-1</v>
      </c>
      <c r="J15">
        <v>76.19</v>
      </c>
      <c r="K15">
        <v>-1</v>
      </c>
      <c r="L15">
        <v>-1</v>
      </c>
      <c r="M15">
        <v>-1</v>
      </c>
      <c r="N15">
        <v>1.41</v>
      </c>
      <c r="O15">
        <v>-1</v>
      </c>
      <c r="P15">
        <v>-1</v>
      </c>
      <c r="Q15">
        <v>-1</v>
      </c>
    </row>
    <row r="16" spans="1:17" x14ac:dyDescent="0.25">
      <c r="A16" t="str" cm="1">
        <f t="array" ref="A16">_xlfn.SWITCH(TRUE, AND(data[[#This Row],[hour]]&gt;=6, data[[#This Row],[hour]]&lt;=11), "Morning", AND(data[[#This Row],[hour]]&gt;=12, data[[#This Row],[hour]]&lt;=17), "Afternoon", AND(data[[#This Row],[hour]]&gt;=18, data[[#This Row],[hour]]&lt;=23), "Evening", TRUE, "Night")</f>
        <v>Afternoon</v>
      </c>
      <c r="B16">
        <v>15.666666666666666</v>
      </c>
      <c r="C16">
        <f>IFERROR( ROUND(data[[#This Row],[kills]]/data[[#This Row],[deaths]],2), 0)</f>
        <v>1.33</v>
      </c>
      <c r="D16">
        <f>IFERROR( ROUND(data[[#This Row],[headshots]]/data[[#This Row],[kills]]*100,2),0)</f>
        <v>93.75</v>
      </c>
      <c r="E16">
        <f>ROUND(data[[#This Row],[kills]]/data[[#This Row],[session_duration_min]],2)</f>
        <v>1.02</v>
      </c>
      <c r="F16">
        <v>-1</v>
      </c>
      <c r="G16">
        <v>-1</v>
      </c>
      <c r="H16">
        <v>-1</v>
      </c>
      <c r="I16">
        <v>1.33</v>
      </c>
      <c r="J16">
        <v>-1</v>
      </c>
      <c r="K16">
        <v>-1</v>
      </c>
      <c r="L16">
        <v>-1</v>
      </c>
      <c r="M16">
        <v>93.75</v>
      </c>
      <c r="N16">
        <v>-1</v>
      </c>
      <c r="O16">
        <v>-1</v>
      </c>
      <c r="P16">
        <v>-1</v>
      </c>
      <c r="Q16">
        <v>1.02</v>
      </c>
    </row>
    <row r="17" spans="1:17" x14ac:dyDescent="0.25">
      <c r="A17" t="str" cm="1">
        <f t="array" ref="A17">_xlfn.SWITCH(TRUE, AND(data[[#This Row],[hour]]&gt;=6, data[[#This Row],[hour]]&lt;=11), "Morning", AND(data[[#This Row],[hour]]&gt;=12, data[[#This Row],[hour]]&lt;=17), "Afternoon", AND(data[[#This Row],[hour]]&gt;=18, data[[#This Row],[hour]]&lt;=23), "Evening", TRUE, "Night")</f>
        <v>Evening</v>
      </c>
      <c r="B17">
        <v>27.216666666666665</v>
      </c>
      <c r="C17">
        <f>IFERROR( ROUND(data[[#This Row],[kills]]/data[[#This Row],[deaths]],2), 0)</f>
        <v>1.82</v>
      </c>
      <c r="D17">
        <f>IFERROR( ROUND(data[[#This Row],[headshots]]/data[[#This Row],[kills]]*100,2),0)</f>
        <v>77.42</v>
      </c>
      <c r="E17">
        <f>ROUND(data[[#This Row],[kills]]/data[[#This Row],[session_duration_min]],2)</f>
        <v>1.1399999999999999</v>
      </c>
      <c r="F17">
        <v>1.82</v>
      </c>
      <c r="G17">
        <v>-1</v>
      </c>
      <c r="H17">
        <v>-1</v>
      </c>
      <c r="I17">
        <v>-1</v>
      </c>
      <c r="J17">
        <v>77.42</v>
      </c>
      <c r="K17">
        <v>-1</v>
      </c>
      <c r="L17">
        <v>-1</v>
      </c>
      <c r="M17">
        <v>-1</v>
      </c>
      <c r="N17">
        <v>1.1399999999999999</v>
      </c>
      <c r="O17">
        <v>-1</v>
      </c>
      <c r="P17">
        <v>-1</v>
      </c>
      <c r="Q17">
        <v>-1</v>
      </c>
    </row>
    <row r="18" spans="1:17" x14ac:dyDescent="0.25">
      <c r="A18" t="str" cm="1">
        <f t="array" ref="A18">_xlfn.SWITCH(TRUE, AND(data[[#This Row],[hour]]&gt;=6, data[[#This Row],[hour]]&lt;=11), "Morning", AND(data[[#This Row],[hour]]&gt;=12, data[[#This Row],[hour]]&lt;=17), "Afternoon", AND(data[[#This Row],[hour]]&gt;=18, data[[#This Row],[hour]]&lt;=23), "Evening", TRUE, "Night")</f>
        <v>Evening</v>
      </c>
      <c r="B18">
        <v>7.95</v>
      </c>
      <c r="C18">
        <f>IFERROR( ROUND(data[[#This Row],[kills]]/data[[#This Row],[deaths]],2), 0)</f>
        <v>1.6</v>
      </c>
      <c r="D18">
        <f>IFERROR( ROUND(data[[#This Row],[headshots]]/data[[#This Row],[kills]]*100,2),0)</f>
        <v>75</v>
      </c>
      <c r="E18">
        <f>ROUND(data[[#This Row],[kills]]/data[[#This Row],[session_duration_min]],2)</f>
        <v>1.01</v>
      </c>
      <c r="F18">
        <v>1.6</v>
      </c>
      <c r="G18">
        <v>-1</v>
      </c>
      <c r="H18">
        <v>-1</v>
      </c>
      <c r="I18">
        <v>-1</v>
      </c>
      <c r="J18">
        <v>75</v>
      </c>
      <c r="K18">
        <v>-1</v>
      </c>
      <c r="L18">
        <v>-1</v>
      </c>
      <c r="M18">
        <v>-1</v>
      </c>
      <c r="N18">
        <v>1.01</v>
      </c>
      <c r="O18">
        <v>-1</v>
      </c>
      <c r="P18">
        <v>-1</v>
      </c>
      <c r="Q18">
        <v>-1</v>
      </c>
    </row>
    <row r="19" spans="1:17" x14ac:dyDescent="0.25">
      <c r="A19" t="str" cm="1">
        <f t="array" ref="A19">_xlfn.SWITCH(TRUE, AND(data[[#This Row],[hour]]&gt;=6, data[[#This Row],[hour]]&lt;=11), "Morning", AND(data[[#This Row],[hour]]&gt;=12, data[[#This Row],[hour]]&lt;=17), "Afternoon", AND(data[[#This Row],[hour]]&gt;=18, data[[#This Row],[hour]]&lt;=23), "Evening", TRUE, "Night")</f>
        <v>Afternoon</v>
      </c>
      <c r="B19">
        <v>30.15</v>
      </c>
      <c r="C19">
        <f>IFERROR( ROUND(data[[#This Row],[kills]]/data[[#This Row],[deaths]],2), 0)</f>
        <v>2.2999999999999998</v>
      </c>
      <c r="D19">
        <f>IFERROR( ROUND(data[[#This Row],[headshots]]/data[[#This Row],[kills]]*100,2),0)</f>
        <v>82.61</v>
      </c>
      <c r="E19">
        <f>ROUND(data[[#This Row],[kills]]/data[[#This Row],[session_duration_min]],2)</f>
        <v>1.53</v>
      </c>
      <c r="F19">
        <v>-1</v>
      </c>
      <c r="G19">
        <v>-1</v>
      </c>
      <c r="H19">
        <v>-1</v>
      </c>
      <c r="I19">
        <v>2.2999999999999998</v>
      </c>
      <c r="J19">
        <v>-1</v>
      </c>
      <c r="K19">
        <v>-1</v>
      </c>
      <c r="L19">
        <v>-1</v>
      </c>
      <c r="M19">
        <v>82.61</v>
      </c>
      <c r="N19">
        <v>-1</v>
      </c>
      <c r="O19">
        <v>-1</v>
      </c>
      <c r="P19">
        <v>-1</v>
      </c>
      <c r="Q19">
        <v>1.53</v>
      </c>
    </row>
    <row r="20" spans="1:17" x14ac:dyDescent="0.25">
      <c r="A20" t="str" cm="1">
        <f t="array" ref="A20">_xlfn.SWITCH(TRUE, AND(data[[#This Row],[hour]]&gt;=6, data[[#This Row],[hour]]&lt;=11), "Morning", AND(data[[#This Row],[hour]]&gt;=12, data[[#This Row],[hour]]&lt;=17), "Afternoon", AND(data[[#This Row],[hour]]&gt;=18, data[[#This Row],[hour]]&lt;=23), "Evening", TRUE, "Night")</f>
        <v>Evening</v>
      </c>
      <c r="B20">
        <v>8.9</v>
      </c>
      <c r="C20">
        <f>IFERROR( ROUND(data[[#This Row],[kills]]/data[[#This Row],[deaths]],2), 0)</f>
        <v>3.25</v>
      </c>
      <c r="D20">
        <f>IFERROR( ROUND(data[[#This Row],[headshots]]/data[[#This Row],[kills]]*100,2),0)</f>
        <v>76.92</v>
      </c>
      <c r="E20">
        <f>ROUND(data[[#This Row],[kills]]/data[[#This Row],[session_duration_min]],2)</f>
        <v>1.46</v>
      </c>
      <c r="F20">
        <v>3.25</v>
      </c>
      <c r="G20">
        <v>-1</v>
      </c>
      <c r="H20">
        <v>-1</v>
      </c>
      <c r="I20">
        <v>-1</v>
      </c>
      <c r="J20">
        <v>76.92</v>
      </c>
      <c r="K20">
        <v>-1</v>
      </c>
      <c r="L20">
        <v>-1</v>
      </c>
      <c r="M20">
        <v>-1</v>
      </c>
      <c r="N20">
        <v>1.46</v>
      </c>
      <c r="O20">
        <v>-1</v>
      </c>
      <c r="P20">
        <v>-1</v>
      </c>
      <c r="Q20">
        <v>-1</v>
      </c>
    </row>
    <row r="21" spans="1:17" x14ac:dyDescent="0.25">
      <c r="A21" t="str" cm="1">
        <f t="array" ref="A21">_xlfn.SWITCH(TRUE, AND(data[[#This Row],[hour]]&gt;=6, data[[#This Row],[hour]]&lt;=11), "Morning", AND(data[[#This Row],[hour]]&gt;=12, data[[#This Row],[hour]]&lt;=17), "Afternoon", AND(data[[#This Row],[hour]]&gt;=18, data[[#This Row],[hour]]&lt;=23), "Evening", TRUE, "Night")</f>
        <v>Evening</v>
      </c>
      <c r="B21">
        <v>50.833333333333329</v>
      </c>
      <c r="C21">
        <f>IFERROR( ROUND(data[[#This Row],[kills]]/data[[#This Row],[deaths]],2), 0)</f>
        <v>2.2599999999999998</v>
      </c>
      <c r="D21">
        <f>IFERROR( ROUND(data[[#This Row],[headshots]]/data[[#This Row],[kills]]*100,2),0)</f>
        <v>71.430000000000007</v>
      </c>
      <c r="E21">
        <f>ROUND(data[[#This Row],[kills]]/data[[#This Row],[session_duration_min]],2)</f>
        <v>1.38</v>
      </c>
      <c r="F21">
        <v>2.2599999999999998</v>
      </c>
      <c r="G21">
        <v>-1</v>
      </c>
      <c r="H21">
        <v>-1</v>
      </c>
      <c r="I21">
        <v>-1</v>
      </c>
      <c r="J21">
        <v>71.430000000000007</v>
      </c>
      <c r="K21">
        <v>-1</v>
      </c>
      <c r="L21">
        <v>-1</v>
      </c>
      <c r="M21">
        <v>-1</v>
      </c>
      <c r="N21">
        <v>1.38</v>
      </c>
      <c r="O21">
        <v>-1</v>
      </c>
      <c r="P21">
        <v>-1</v>
      </c>
      <c r="Q21">
        <v>-1</v>
      </c>
    </row>
    <row r="22" spans="1:17" x14ac:dyDescent="0.25">
      <c r="A22" t="str" cm="1">
        <f t="array" ref="A22">_xlfn.SWITCH(TRUE, AND(data[[#This Row],[hour]]&gt;=6, data[[#This Row],[hour]]&lt;=11), "Morning", AND(data[[#This Row],[hour]]&gt;=12, data[[#This Row],[hour]]&lt;=17), "Afternoon", AND(data[[#This Row],[hour]]&gt;=18, data[[#This Row],[hour]]&lt;=23), "Evening", TRUE, "Night")</f>
        <v>Evening</v>
      </c>
      <c r="B22">
        <v>67.016666666666666</v>
      </c>
      <c r="C22">
        <f>IFERROR( ROUND(data[[#This Row],[kills]]/data[[#This Row],[deaths]],2), 0)</f>
        <v>1.25</v>
      </c>
      <c r="D22">
        <f>IFERROR( ROUND(data[[#This Row],[headshots]]/data[[#This Row],[kills]]*100,2),0)</f>
        <v>85.33</v>
      </c>
      <c r="E22">
        <f>ROUND(data[[#This Row],[kills]]/data[[#This Row],[session_duration_min]],2)</f>
        <v>1.1200000000000001</v>
      </c>
      <c r="F22">
        <v>1.25</v>
      </c>
      <c r="G22">
        <v>-1</v>
      </c>
      <c r="H22">
        <v>-1</v>
      </c>
      <c r="I22">
        <v>-1</v>
      </c>
      <c r="J22">
        <v>85.33</v>
      </c>
      <c r="K22">
        <v>-1</v>
      </c>
      <c r="L22">
        <v>-1</v>
      </c>
      <c r="M22">
        <v>-1</v>
      </c>
      <c r="N22">
        <v>1.1200000000000001</v>
      </c>
      <c r="O22">
        <v>-1</v>
      </c>
      <c r="P22">
        <v>-1</v>
      </c>
      <c r="Q22">
        <v>-1</v>
      </c>
    </row>
    <row r="23" spans="1:17" x14ac:dyDescent="0.25">
      <c r="A23" t="str" cm="1">
        <f t="array" ref="A23">_xlfn.SWITCH(TRUE, AND(data[[#This Row],[hour]]&gt;=6, data[[#This Row],[hour]]&lt;=11), "Morning", AND(data[[#This Row],[hour]]&gt;=12, data[[#This Row],[hour]]&lt;=17), "Afternoon", AND(data[[#This Row],[hour]]&gt;=18, data[[#This Row],[hour]]&lt;=23), "Evening", TRUE, "Night")</f>
        <v>Evening</v>
      </c>
      <c r="B23">
        <v>31.383333333333336</v>
      </c>
      <c r="C23">
        <f>IFERROR( ROUND(data[[#This Row],[kills]]/data[[#This Row],[deaths]],2), 0)</f>
        <v>1.67</v>
      </c>
      <c r="D23">
        <f>IFERROR( ROUND(data[[#This Row],[headshots]]/data[[#This Row],[kills]]*100,2),0)</f>
        <v>80</v>
      </c>
      <c r="E23">
        <f>ROUND(data[[#This Row],[kills]]/data[[#This Row],[session_duration_min]],2)</f>
        <v>1.1200000000000001</v>
      </c>
      <c r="F23">
        <v>1.67</v>
      </c>
      <c r="G23">
        <v>-1</v>
      </c>
      <c r="H23">
        <v>-1</v>
      </c>
      <c r="I23">
        <v>-1</v>
      </c>
      <c r="J23">
        <v>80</v>
      </c>
      <c r="K23">
        <v>-1</v>
      </c>
      <c r="L23">
        <v>-1</v>
      </c>
      <c r="M23">
        <v>-1</v>
      </c>
      <c r="N23">
        <v>1.1200000000000001</v>
      </c>
      <c r="O23">
        <v>-1</v>
      </c>
      <c r="P23">
        <v>-1</v>
      </c>
      <c r="Q23">
        <v>-1</v>
      </c>
    </row>
    <row r="24" spans="1:17" x14ac:dyDescent="0.25">
      <c r="A24" t="str" cm="1">
        <f t="array" ref="A24">_xlfn.SWITCH(TRUE, AND(data[[#This Row],[hour]]&gt;=6, data[[#This Row],[hour]]&lt;=11), "Morning", AND(data[[#This Row],[hour]]&gt;=12, data[[#This Row],[hour]]&lt;=17), "Afternoon", AND(data[[#This Row],[hour]]&gt;=18, data[[#This Row],[hour]]&lt;=23), "Evening", TRUE, "Night")</f>
        <v>Evening</v>
      </c>
      <c r="B24">
        <v>9.5166666666666675</v>
      </c>
      <c r="C24">
        <f>IFERROR( ROUND(data[[#This Row],[kills]]/data[[#This Row],[deaths]],2), 0)</f>
        <v>6</v>
      </c>
      <c r="D24">
        <f>IFERROR( ROUND(data[[#This Row],[headshots]]/data[[#This Row],[kills]]*100,2),0)</f>
        <v>83.33</v>
      </c>
      <c r="E24">
        <f>ROUND(data[[#This Row],[kills]]/data[[#This Row],[session_duration_min]],2)</f>
        <v>1.89</v>
      </c>
      <c r="F24">
        <v>6</v>
      </c>
      <c r="G24">
        <v>-1</v>
      </c>
      <c r="H24">
        <v>-1</v>
      </c>
      <c r="I24">
        <v>-1</v>
      </c>
      <c r="J24">
        <v>83.33</v>
      </c>
      <c r="K24">
        <v>-1</v>
      </c>
      <c r="L24">
        <v>-1</v>
      </c>
      <c r="M24">
        <v>-1</v>
      </c>
      <c r="N24">
        <v>1.89</v>
      </c>
      <c r="O24">
        <v>-1</v>
      </c>
      <c r="P24">
        <v>-1</v>
      </c>
      <c r="Q24">
        <v>-1</v>
      </c>
    </row>
    <row r="25" spans="1:17" x14ac:dyDescent="0.25">
      <c r="A25" t="str" cm="1">
        <f t="array" ref="A25">_xlfn.SWITCH(TRUE, AND(data[[#This Row],[hour]]&gt;=6, data[[#This Row],[hour]]&lt;=11), "Morning", AND(data[[#This Row],[hour]]&gt;=12, data[[#This Row],[hour]]&lt;=17), "Afternoon", AND(data[[#This Row],[hour]]&gt;=18, data[[#This Row],[hour]]&lt;=23), "Evening", TRUE, "Night")</f>
        <v>Afternoon</v>
      </c>
      <c r="B25">
        <v>14.283333333333333</v>
      </c>
      <c r="C25">
        <f>IFERROR( ROUND(data[[#This Row],[kills]]/data[[#This Row],[deaths]],2), 0)</f>
        <v>2</v>
      </c>
      <c r="D25">
        <f>IFERROR( ROUND(data[[#This Row],[headshots]]/data[[#This Row],[kills]]*100,2),0)</f>
        <v>88.89</v>
      </c>
      <c r="E25">
        <f>ROUND(data[[#This Row],[kills]]/data[[#This Row],[session_duration_min]],2)</f>
        <v>1.26</v>
      </c>
      <c r="F25">
        <v>-1</v>
      </c>
      <c r="G25">
        <v>-1</v>
      </c>
      <c r="H25">
        <v>-1</v>
      </c>
      <c r="I25">
        <v>2</v>
      </c>
      <c r="J25">
        <v>-1</v>
      </c>
      <c r="K25">
        <v>-1</v>
      </c>
      <c r="L25">
        <v>-1</v>
      </c>
      <c r="M25">
        <v>88.89</v>
      </c>
      <c r="N25">
        <v>-1</v>
      </c>
      <c r="O25">
        <v>-1</v>
      </c>
      <c r="P25">
        <v>-1</v>
      </c>
      <c r="Q25">
        <v>1.26</v>
      </c>
    </row>
    <row r="26" spans="1:17" x14ac:dyDescent="0.25">
      <c r="A26" t="str" cm="1">
        <f t="array" ref="A26">_xlfn.SWITCH(TRUE, AND(data[[#This Row],[hour]]&gt;=6, data[[#This Row],[hour]]&lt;=11), "Morning", AND(data[[#This Row],[hour]]&gt;=12, data[[#This Row],[hour]]&lt;=17), "Afternoon", AND(data[[#This Row],[hour]]&gt;=18, data[[#This Row],[hour]]&lt;=23), "Evening", TRUE, "Night")</f>
        <v>Evening</v>
      </c>
      <c r="B26">
        <v>30.716666666666665</v>
      </c>
      <c r="C26">
        <f>IFERROR( ROUND(data[[#This Row],[kills]]/data[[#This Row],[deaths]],2), 0)</f>
        <v>1.65</v>
      </c>
      <c r="D26">
        <f>IFERROR( ROUND(data[[#This Row],[headshots]]/data[[#This Row],[kills]]*100,2),0)</f>
        <v>57.58</v>
      </c>
      <c r="E26">
        <f>ROUND(data[[#This Row],[kills]]/data[[#This Row],[session_duration_min]],2)</f>
        <v>1.07</v>
      </c>
      <c r="F26">
        <v>1.65</v>
      </c>
      <c r="G26">
        <v>-1</v>
      </c>
      <c r="H26">
        <v>-1</v>
      </c>
      <c r="I26">
        <v>-1</v>
      </c>
      <c r="J26">
        <v>57.58</v>
      </c>
      <c r="K26">
        <v>-1</v>
      </c>
      <c r="L26">
        <v>-1</v>
      </c>
      <c r="M26">
        <v>-1</v>
      </c>
      <c r="N26">
        <v>1.07</v>
      </c>
      <c r="O26">
        <v>-1</v>
      </c>
      <c r="P26">
        <v>-1</v>
      </c>
      <c r="Q26">
        <v>-1</v>
      </c>
    </row>
    <row r="27" spans="1:17" x14ac:dyDescent="0.25">
      <c r="A27" t="str" cm="1">
        <f t="array" ref="A27">_xlfn.SWITCH(TRUE, AND(data[[#This Row],[hour]]&gt;=6, data[[#This Row],[hour]]&lt;=11), "Morning", AND(data[[#This Row],[hour]]&gt;=12, data[[#This Row],[hour]]&lt;=17), "Afternoon", AND(data[[#This Row],[hour]]&gt;=18, data[[#This Row],[hour]]&lt;=23), "Evening", TRUE, "Night")</f>
        <v>Night</v>
      </c>
      <c r="B27">
        <v>16.133333333333333</v>
      </c>
      <c r="C27">
        <f>IFERROR( ROUND(data[[#This Row],[kills]]/data[[#This Row],[deaths]],2), 0)</f>
        <v>1.57</v>
      </c>
      <c r="D27">
        <f>IFERROR( ROUND(data[[#This Row],[headshots]]/data[[#This Row],[kills]]*100,2),0)</f>
        <v>90.91</v>
      </c>
      <c r="E27">
        <f>ROUND(data[[#This Row],[kills]]/data[[#This Row],[session_duration_min]],2)</f>
        <v>1.36</v>
      </c>
      <c r="F27">
        <v>-1</v>
      </c>
      <c r="G27">
        <v>1.57</v>
      </c>
      <c r="H27">
        <v>-1</v>
      </c>
      <c r="I27">
        <v>-1</v>
      </c>
      <c r="J27">
        <v>-1</v>
      </c>
      <c r="K27">
        <v>90.91</v>
      </c>
      <c r="L27">
        <v>-1</v>
      </c>
      <c r="M27">
        <v>-1</v>
      </c>
      <c r="N27">
        <v>-1</v>
      </c>
      <c r="O27">
        <v>1.36</v>
      </c>
      <c r="P27">
        <v>-1</v>
      </c>
      <c r="Q27">
        <v>-1</v>
      </c>
    </row>
    <row r="28" spans="1:17" x14ac:dyDescent="0.25">
      <c r="A28" t="str" cm="1">
        <f t="array" ref="A28">_xlfn.SWITCH(TRUE, AND(data[[#This Row],[hour]]&gt;=6, data[[#This Row],[hour]]&lt;=11), "Morning", AND(data[[#This Row],[hour]]&gt;=12, data[[#This Row],[hour]]&lt;=17), "Afternoon", AND(data[[#This Row],[hour]]&gt;=18, data[[#This Row],[hour]]&lt;=23), "Evening", TRUE, "Night")</f>
        <v>Night</v>
      </c>
      <c r="B28">
        <v>13.033333333333333</v>
      </c>
      <c r="C28">
        <f>IFERROR( ROUND(data[[#This Row],[kills]]/data[[#This Row],[deaths]],2), 0)</f>
        <v>1.88</v>
      </c>
      <c r="D28">
        <f>IFERROR( ROUND(data[[#This Row],[headshots]]/data[[#This Row],[kills]]*100,2),0)</f>
        <v>86.67</v>
      </c>
      <c r="E28">
        <f>ROUND(data[[#This Row],[kills]]/data[[#This Row],[session_duration_min]],2)</f>
        <v>1.1499999999999999</v>
      </c>
      <c r="F28">
        <v>-1</v>
      </c>
      <c r="G28">
        <v>1.88</v>
      </c>
      <c r="H28">
        <v>-1</v>
      </c>
      <c r="I28">
        <v>-1</v>
      </c>
      <c r="J28">
        <v>-1</v>
      </c>
      <c r="K28">
        <v>86.67</v>
      </c>
      <c r="L28">
        <v>-1</v>
      </c>
      <c r="M28">
        <v>-1</v>
      </c>
      <c r="N28">
        <v>-1</v>
      </c>
      <c r="O28">
        <v>1.1499999999999999</v>
      </c>
      <c r="P28">
        <v>-1</v>
      </c>
      <c r="Q28">
        <v>-1</v>
      </c>
    </row>
    <row r="29" spans="1:17" x14ac:dyDescent="0.25">
      <c r="A29" t="str" cm="1">
        <f t="array" ref="A29">_xlfn.SWITCH(TRUE, AND(data[[#This Row],[hour]]&gt;=6, data[[#This Row],[hour]]&lt;=11), "Morning", AND(data[[#This Row],[hour]]&gt;=12, data[[#This Row],[hour]]&lt;=17), "Afternoon", AND(data[[#This Row],[hour]]&gt;=18, data[[#This Row],[hour]]&lt;=23), "Evening", TRUE, "Night")</f>
        <v>Night</v>
      </c>
      <c r="B29">
        <v>24.433333333333334</v>
      </c>
      <c r="C29">
        <f>IFERROR( ROUND(data[[#This Row],[kills]]/data[[#This Row],[deaths]],2), 0)</f>
        <v>0.62</v>
      </c>
      <c r="D29">
        <f>IFERROR( ROUND(data[[#This Row],[headshots]]/data[[#This Row],[kills]]*100,2),0)</f>
        <v>68.75</v>
      </c>
      <c r="E29">
        <f>ROUND(data[[#This Row],[kills]]/data[[#This Row],[session_duration_min]],2)</f>
        <v>0.65</v>
      </c>
      <c r="F29">
        <v>-1</v>
      </c>
      <c r="G29">
        <v>0.62</v>
      </c>
      <c r="H29">
        <v>-1</v>
      </c>
      <c r="I29">
        <v>-1</v>
      </c>
      <c r="J29">
        <v>-1</v>
      </c>
      <c r="K29">
        <v>68.75</v>
      </c>
      <c r="L29">
        <v>-1</v>
      </c>
      <c r="M29">
        <v>-1</v>
      </c>
      <c r="N29">
        <v>-1</v>
      </c>
      <c r="O29">
        <v>0.65</v>
      </c>
      <c r="P29">
        <v>-1</v>
      </c>
      <c r="Q29">
        <v>-1</v>
      </c>
    </row>
    <row r="30" spans="1:17" x14ac:dyDescent="0.25">
      <c r="A30" t="str" cm="1">
        <f t="array" ref="A30">_xlfn.SWITCH(TRUE, AND(data[[#This Row],[hour]]&gt;=6, data[[#This Row],[hour]]&lt;=11), "Morning", AND(data[[#This Row],[hour]]&gt;=12, data[[#This Row],[hour]]&lt;=17), "Afternoon", AND(data[[#This Row],[hour]]&gt;=18, data[[#This Row],[hour]]&lt;=23), "Evening", TRUE, "Night")</f>
        <v>Evening</v>
      </c>
      <c r="B30">
        <v>69.066666666666663</v>
      </c>
      <c r="C30">
        <f>IFERROR( ROUND(data[[#This Row],[kills]]/data[[#This Row],[deaths]],2), 0)</f>
        <v>1.87</v>
      </c>
      <c r="D30">
        <f>IFERROR( ROUND(data[[#This Row],[headshots]]/data[[#This Row],[kills]]*100,2),0)</f>
        <v>74.760000000000005</v>
      </c>
      <c r="E30">
        <f>ROUND(data[[#This Row],[kills]]/data[[#This Row],[session_duration_min]],2)</f>
        <v>1.49</v>
      </c>
      <c r="F30">
        <v>1.87</v>
      </c>
      <c r="G30">
        <v>-1</v>
      </c>
      <c r="H30">
        <v>-1</v>
      </c>
      <c r="I30">
        <v>-1</v>
      </c>
      <c r="J30">
        <v>74.760000000000005</v>
      </c>
      <c r="K30">
        <v>-1</v>
      </c>
      <c r="L30">
        <v>-1</v>
      </c>
      <c r="M30">
        <v>-1</v>
      </c>
      <c r="N30">
        <v>1.49</v>
      </c>
      <c r="O30">
        <v>-1</v>
      </c>
      <c r="P30">
        <v>-1</v>
      </c>
      <c r="Q30">
        <v>-1</v>
      </c>
    </row>
    <row r="31" spans="1:17" x14ac:dyDescent="0.25">
      <c r="A31" t="str" cm="1">
        <f t="array" ref="A31">_xlfn.SWITCH(TRUE, AND(data[[#This Row],[hour]]&gt;=6, data[[#This Row],[hour]]&lt;=11), "Morning", AND(data[[#This Row],[hour]]&gt;=12, data[[#This Row],[hour]]&lt;=17), "Afternoon", AND(data[[#This Row],[hour]]&gt;=18, data[[#This Row],[hour]]&lt;=23), "Evening", TRUE, "Night")</f>
        <v>Evening</v>
      </c>
      <c r="B31">
        <v>15.616666666666667</v>
      </c>
      <c r="C31">
        <f>IFERROR( ROUND(data[[#This Row],[kills]]/data[[#This Row],[deaths]],2), 0)</f>
        <v>0.92</v>
      </c>
      <c r="D31">
        <f>IFERROR( ROUND(data[[#This Row],[headshots]]/data[[#This Row],[kills]]*100,2),0)</f>
        <v>63.64</v>
      </c>
      <c r="E31">
        <f>ROUND(data[[#This Row],[kills]]/data[[#This Row],[session_duration_min]],2)</f>
        <v>0.7</v>
      </c>
      <c r="F31">
        <v>0.92</v>
      </c>
      <c r="G31">
        <v>-1</v>
      </c>
      <c r="H31">
        <v>-1</v>
      </c>
      <c r="I31">
        <v>-1</v>
      </c>
      <c r="J31">
        <v>63.64</v>
      </c>
      <c r="K31">
        <v>-1</v>
      </c>
      <c r="L31">
        <v>-1</v>
      </c>
      <c r="M31">
        <v>-1</v>
      </c>
      <c r="N31">
        <v>0.7</v>
      </c>
      <c r="O31">
        <v>-1</v>
      </c>
      <c r="P31">
        <v>-1</v>
      </c>
      <c r="Q31">
        <v>-1</v>
      </c>
    </row>
    <row r="32" spans="1:17" x14ac:dyDescent="0.25">
      <c r="A32" t="str" cm="1">
        <f t="array" ref="A32">_xlfn.SWITCH(TRUE, AND(data[[#This Row],[hour]]&gt;=6, data[[#This Row],[hour]]&lt;=11), "Morning", AND(data[[#This Row],[hour]]&gt;=12, data[[#This Row],[hour]]&lt;=17), "Afternoon", AND(data[[#This Row],[hour]]&gt;=18, data[[#This Row],[hour]]&lt;=23), "Evening", TRUE, "Night")</f>
        <v>Evening</v>
      </c>
      <c r="B32">
        <v>14.466666666666669</v>
      </c>
      <c r="C32">
        <f>IFERROR( ROUND(data[[#This Row],[kills]]/data[[#This Row],[deaths]],2), 0)</f>
        <v>0.5</v>
      </c>
      <c r="D32">
        <f>IFERROR( ROUND(data[[#This Row],[headshots]]/data[[#This Row],[kills]]*100,2),0)</f>
        <v>83.33</v>
      </c>
      <c r="E32">
        <f>ROUND(data[[#This Row],[kills]]/data[[#This Row],[session_duration_min]],2)</f>
        <v>0.41</v>
      </c>
      <c r="F32">
        <v>0.5</v>
      </c>
      <c r="G32">
        <v>-1</v>
      </c>
      <c r="H32">
        <v>-1</v>
      </c>
      <c r="I32">
        <v>-1</v>
      </c>
      <c r="J32">
        <v>83.33</v>
      </c>
      <c r="K32">
        <v>-1</v>
      </c>
      <c r="L32">
        <v>-1</v>
      </c>
      <c r="M32">
        <v>-1</v>
      </c>
      <c r="N32">
        <v>0.41</v>
      </c>
      <c r="O32">
        <v>-1</v>
      </c>
      <c r="P32">
        <v>-1</v>
      </c>
      <c r="Q32">
        <v>-1</v>
      </c>
    </row>
    <row r="33" spans="1:17" x14ac:dyDescent="0.25">
      <c r="A33" t="str" cm="1">
        <f t="array" ref="A33">_xlfn.SWITCH(TRUE, AND(data[[#This Row],[hour]]&gt;=6, data[[#This Row],[hour]]&lt;=11), "Morning", AND(data[[#This Row],[hour]]&gt;=12, data[[#This Row],[hour]]&lt;=17), "Afternoon", AND(data[[#This Row],[hour]]&gt;=18, data[[#This Row],[hour]]&lt;=23), "Evening", TRUE, "Night")</f>
        <v>Evening</v>
      </c>
      <c r="B33">
        <v>6.416666666666667</v>
      </c>
      <c r="C33">
        <f>IFERROR( ROUND(data[[#This Row],[kills]]/data[[#This Row],[deaths]],2), 0)</f>
        <v>1.5</v>
      </c>
      <c r="D33">
        <f>IFERROR( ROUND(data[[#This Row],[headshots]]/data[[#This Row],[kills]]*100,2),0)</f>
        <v>83.33</v>
      </c>
      <c r="E33">
        <f>ROUND(data[[#This Row],[kills]]/data[[#This Row],[session_duration_min]],2)</f>
        <v>0.94</v>
      </c>
      <c r="F33">
        <v>1.5</v>
      </c>
      <c r="G33">
        <v>-1</v>
      </c>
      <c r="H33">
        <v>-1</v>
      </c>
      <c r="I33">
        <v>-1</v>
      </c>
      <c r="J33">
        <v>83.33</v>
      </c>
      <c r="K33">
        <v>-1</v>
      </c>
      <c r="L33">
        <v>-1</v>
      </c>
      <c r="M33">
        <v>-1</v>
      </c>
      <c r="N33">
        <v>0.94</v>
      </c>
      <c r="O33">
        <v>-1</v>
      </c>
      <c r="P33">
        <v>-1</v>
      </c>
      <c r="Q33">
        <v>-1</v>
      </c>
    </row>
    <row r="34" spans="1:17" x14ac:dyDescent="0.25">
      <c r="A34" t="str" cm="1">
        <f t="array" ref="A34">_xlfn.SWITCH(TRUE, AND(data[[#This Row],[hour]]&gt;=6, data[[#This Row],[hour]]&lt;=11), "Morning", AND(data[[#This Row],[hour]]&gt;=12, data[[#This Row],[hour]]&lt;=17), "Afternoon", AND(data[[#This Row],[hour]]&gt;=18, data[[#This Row],[hour]]&lt;=23), "Evening", TRUE, "Night")</f>
        <v>Night</v>
      </c>
      <c r="B34">
        <v>50.516666666666666</v>
      </c>
      <c r="C34">
        <f>IFERROR( ROUND(data[[#This Row],[kills]]/data[[#This Row],[deaths]],2), 0)</f>
        <v>1.97</v>
      </c>
      <c r="D34">
        <f>IFERROR( ROUND(data[[#This Row],[headshots]]/data[[#This Row],[kills]]*100,2),0)</f>
        <v>76.06</v>
      </c>
      <c r="E34">
        <f>ROUND(data[[#This Row],[kills]]/data[[#This Row],[session_duration_min]],2)</f>
        <v>1.41</v>
      </c>
      <c r="F34">
        <v>-1</v>
      </c>
      <c r="G34">
        <v>1.97</v>
      </c>
      <c r="H34">
        <v>-1</v>
      </c>
      <c r="I34">
        <v>-1</v>
      </c>
      <c r="J34">
        <v>-1</v>
      </c>
      <c r="K34">
        <v>76.06</v>
      </c>
      <c r="L34">
        <v>-1</v>
      </c>
      <c r="M34">
        <v>-1</v>
      </c>
      <c r="N34">
        <v>-1</v>
      </c>
      <c r="O34">
        <v>1.41</v>
      </c>
      <c r="P34">
        <v>-1</v>
      </c>
      <c r="Q34">
        <v>-1</v>
      </c>
    </row>
    <row r="35" spans="1:17" x14ac:dyDescent="0.25">
      <c r="A35" t="str" cm="1">
        <f t="array" ref="A35">_xlfn.SWITCH(TRUE, AND(data[[#This Row],[hour]]&gt;=6, data[[#This Row],[hour]]&lt;=11), "Morning", AND(data[[#This Row],[hour]]&gt;=12, data[[#This Row],[hour]]&lt;=17), "Afternoon", AND(data[[#This Row],[hour]]&gt;=18, data[[#This Row],[hour]]&lt;=23), "Evening", TRUE, "Night")</f>
        <v>Evening</v>
      </c>
      <c r="B35">
        <v>75.916666666666671</v>
      </c>
      <c r="C35">
        <f>IFERROR( ROUND(data[[#This Row],[kills]]/data[[#This Row],[deaths]],2), 0)</f>
        <v>1.4</v>
      </c>
      <c r="D35">
        <f>IFERROR( ROUND(data[[#This Row],[headshots]]/data[[#This Row],[kills]]*100,2),0)</f>
        <v>75</v>
      </c>
      <c r="E35">
        <f>ROUND(data[[#This Row],[kills]]/data[[#This Row],[session_duration_min]],2)</f>
        <v>1.1100000000000001</v>
      </c>
      <c r="F35">
        <v>1.4</v>
      </c>
      <c r="G35">
        <v>-1</v>
      </c>
      <c r="H35">
        <v>-1</v>
      </c>
      <c r="I35">
        <v>-1</v>
      </c>
      <c r="J35">
        <v>75</v>
      </c>
      <c r="K35">
        <v>-1</v>
      </c>
      <c r="L35">
        <v>-1</v>
      </c>
      <c r="M35">
        <v>-1</v>
      </c>
      <c r="N35">
        <v>1.1100000000000001</v>
      </c>
      <c r="O35">
        <v>-1</v>
      </c>
      <c r="P35">
        <v>-1</v>
      </c>
      <c r="Q35">
        <v>-1</v>
      </c>
    </row>
    <row r="36" spans="1:17" x14ac:dyDescent="0.25">
      <c r="A36" t="str" cm="1">
        <f t="array" ref="A36">_xlfn.SWITCH(TRUE, AND(data[[#This Row],[hour]]&gt;=6, data[[#This Row],[hour]]&lt;=11), "Morning", AND(data[[#This Row],[hour]]&gt;=12, data[[#This Row],[hour]]&lt;=17), "Afternoon", AND(data[[#This Row],[hour]]&gt;=18, data[[#This Row],[hour]]&lt;=23), "Evening", TRUE, "Night")</f>
        <v>Night</v>
      </c>
      <c r="B36">
        <v>14.1</v>
      </c>
      <c r="C36">
        <f>IFERROR( ROUND(data[[#This Row],[kills]]/data[[#This Row],[deaths]],2), 0)</f>
        <v>4</v>
      </c>
      <c r="D36">
        <f>IFERROR( ROUND(data[[#This Row],[headshots]]/data[[#This Row],[kills]]*100,2),0)</f>
        <v>91.67</v>
      </c>
      <c r="E36">
        <f>ROUND(data[[#This Row],[kills]]/data[[#This Row],[session_duration_min]],2)</f>
        <v>1.7</v>
      </c>
      <c r="F36">
        <v>-1</v>
      </c>
      <c r="G36">
        <v>4</v>
      </c>
      <c r="H36">
        <v>-1</v>
      </c>
      <c r="I36">
        <v>-1</v>
      </c>
      <c r="J36">
        <v>-1</v>
      </c>
      <c r="K36">
        <v>91.67</v>
      </c>
      <c r="L36">
        <v>-1</v>
      </c>
      <c r="M36">
        <v>-1</v>
      </c>
      <c r="N36">
        <v>-1</v>
      </c>
      <c r="O36">
        <v>1.7</v>
      </c>
      <c r="P36">
        <v>-1</v>
      </c>
      <c r="Q36">
        <v>-1</v>
      </c>
    </row>
    <row r="37" spans="1:17" x14ac:dyDescent="0.25">
      <c r="A37" t="str" cm="1">
        <f t="array" ref="A37">_xlfn.SWITCH(TRUE, AND(data[[#This Row],[hour]]&gt;=6, data[[#This Row],[hour]]&lt;=11), "Morning", AND(data[[#This Row],[hour]]&gt;=12, data[[#This Row],[hour]]&lt;=17), "Afternoon", AND(data[[#This Row],[hour]]&gt;=18, data[[#This Row],[hour]]&lt;=23), "Evening", TRUE, "Night")</f>
        <v>Evening</v>
      </c>
      <c r="B37">
        <v>33.31666666666667</v>
      </c>
      <c r="C37">
        <f>IFERROR( ROUND(data[[#This Row],[kills]]/data[[#This Row],[deaths]],2), 0)</f>
        <v>1.2</v>
      </c>
      <c r="D37">
        <f>IFERROR( ROUND(data[[#This Row],[headshots]]/data[[#This Row],[kills]]*100,2),0)</f>
        <v>61.11</v>
      </c>
      <c r="E37">
        <f>ROUND(data[[#This Row],[kills]]/data[[#This Row],[session_duration_min]],2)</f>
        <v>1.08</v>
      </c>
      <c r="F37">
        <v>1.2</v>
      </c>
      <c r="G37">
        <v>-1</v>
      </c>
      <c r="H37">
        <v>-1</v>
      </c>
      <c r="I37">
        <v>-1</v>
      </c>
      <c r="J37">
        <v>61.11</v>
      </c>
      <c r="K37">
        <v>-1</v>
      </c>
      <c r="L37">
        <v>-1</v>
      </c>
      <c r="M37">
        <v>-1</v>
      </c>
      <c r="N37">
        <v>1.08</v>
      </c>
      <c r="O37">
        <v>-1</v>
      </c>
      <c r="P37">
        <v>-1</v>
      </c>
      <c r="Q37">
        <v>-1</v>
      </c>
    </row>
    <row r="38" spans="1:17" x14ac:dyDescent="0.25">
      <c r="A38" t="str" cm="1">
        <f t="array" ref="A38">_xlfn.SWITCH(TRUE, AND(data[[#This Row],[hour]]&gt;=6, data[[#This Row],[hour]]&lt;=11), "Morning", AND(data[[#This Row],[hour]]&gt;=12, data[[#This Row],[hour]]&lt;=17), "Afternoon", AND(data[[#This Row],[hour]]&gt;=18, data[[#This Row],[hour]]&lt;=23), "Evening", TRUE, "Night")</f>
        <v>Evening</v>
      </c>
      <c r="B38">
        <v>34.15</v>
      </c>
      <c r="C38">
        <f>IFERROR( ROUND(data[[#This Row],[kills]]/data[[#This Row],[deaths]],2), 0)</f>
        <v>1.52</v>
      </c>
      <c r="D38">
        <f>IFERROR( ROUND(data[[#This Row],[headshots]]/data[[#This Row],[kills]]*100,2),0)</f>
        <v>71.05</v>
      </c>
      <c r="E38">
        <f>ROUND(data[[#This Row],[kills]]/data[[#This Row],[session_duration_min]],2)</f>
        <v>1.1100000000000001</v>
      </c>
      <c r="F38">
        <v>1.52</v>
      </c>
      <c r="G38">
        <v>-1</v>
      </c>
      <c r="H38">
        <v>-1</v>
      </c>
      <c r="I38">
        <v>-1</v>
      </c>
      <c r="J38">
        <v>71.05</v>
      </c>
      <c r="K38">
        <v>-1</v>
      </c>
      <c r="L38">
        <v>-1</v>
      </c>
      <c r="M38">
        <v>-1</v>
      </c>
      <c r="N38">
        <v>1.1100000000000001</v>
      </c>
      <c r="O38">
        <v>-1</v>
      </c>
      <c r="P38">
        <v>-1</v>
      </c>
      <c r="Q38">
        <v>-1</v>
      </c>
    </row>
    <row r="39" spans="1:17" x14ac:dyDescent="0.25">
      <c r="A39" t="str" cm="1">
        <f t="array" ref="A39">_xlfn.SWITCH(TRUE, AND(data[[#This Row],[hour]]&gt;=6, data[[#This Row],[hour]]&lt;=11), "Morning", AND(data[[#This Row],[hour]]&gt;=12, data[[#This Row],[hour]]&lt;=17), "Afternoon", AND(data[[#This Row],[hour]]&gt;=18, data[[#This Row],[hour]]&lt;=23), "Evening", TRUE, "Night")</f>
        <v>Night</v>
      </c>
      <c r="B39">
        <v>10.833333333333334</v>
      </c>
      <c r="C39">
        <f>IFERROR( ROUND(data[[#This Row],[kills]]/data[[#This Row],[deaths]],2), 0)</f>
        <v>1.29</v>
      </c>
      <c r="D39">
        <f>IFERROR( ROUND(data[[#This Row],[headshots]]/data[[#This Row],[kills]]*100,2),0)</f>
        <v>66.67</v>
      </c>
      <c r="E39">
        <f>ROUND(data[[#This Row],[kills]]/data[[#This Row],[session_duration_min]],2)</f>
        <v>0.83</v>
      </c>
      <c r="F39">
        <v>-1</v>
      </c>
      <c r="G39">
        <v>1.29</v>
      </c>
      <c r="H39">
        <v>-1</v>
      </c>
      <c r="I39">
        <v>-1</v>
      </c>
      <c r="J39">
        <v>-1</v>
      </c>
      <c r="K39">
        <v>66.67</v>
      </c>
      <c r="L39">
        <v>-1</v>
      </c>
      <c r="M39">
        <v>-1</v>
      </c>
      <c r="N39">
        <v>-1</v>
      </c>
      <c r="O39">
        <v>0.83</v>
      </c>
      <c r="P39">
        <v>-1</v>
      </c>
      <c r="Q39">
        <v>-1</v>
      </c>
    </row>
    <row r="40" spans="1:17" x14ac:dyDescent="0.25">
      <c r="A40" t="str" cm="1">
        <f t="array" ref="A40">_xlfn.SWITCH(TRUE, AND(data[[#This Row],[hour]]&gt;=6, data[[#This Row],[hour]]&lt;=11), "Morning", AND(data[[#This Row],[hour]]&gt;=12, data[[#This Row],[hour]]&lt;=17), "Afternoon", AND(data[[#This Row],[hour]]&gt;=18, data[[#This Row],[hour]]&lt;=23), "Evening", TRUE, "Night")</f>
        <v>Evening</v>
      </c>
      <c r="B40">
        <v>20.5</v>
      </c>
      <c r="C40">
        <f>IFERROR( ROUND(data[[#This Row],[kills]]/data[[#This Row],[deaths]],2), 0)</f>
        <v>1.19</v>
      </c>
      <c r="D40">
        <f>IFERROR( ROUND(data[[#This Row],[headshots]]/data[[#This Row],[kills]]*100,2),0)</f>
        <v>64</v>
      </c>
      <c r="E40">
        <f>ROUND(data[[#This Row],[kills]]/data[[#This Row],[session_duration_min]],2)</f>
        <v>1.22</v>
      </c>
      <c r="F40">
        <v>1.19</v>
      </c>
      <c r="G40">
        <v>-1</v>
      </c>
      <c r="H40">
        <v>-1</v>
      </c>
      <c r="I40">
        <v>-1</v>
      </c>
      <c r="J40">
        <v>64</v>
      </c>
      <c r="K40">
        <v>-1</v>
      </c>
      <c r="L40">
        <v>-1</v>
      </c>
      <c r="M40">
        <v>-1</v>
      </c>
      <c r="N40">
        <v>1.22</v>
      </c>
      <c r="O40">
        <v>-1</v>
      </c>
      <c r="P40">
        <v>-1</v>
      </c>
      <c r="Q40">
        <v>-1</v>
      </c>
    </row>
    <row r="41" spans="1:17" x14ac:dyDescent="0.25">
      <c r="A41" t="str" cm="1">
        <f t="array" ref="A41">_xlfn.SWITCH(TRUE, AND(data[[#This Row],[hour]]&gt;=6, data[[#This Row],[hour]]&lt;=11), "Morning", AND(data[[#This Row],[hour]]&gt;=12, data[[#This Row],[hour]]&lt;=17), "Afternoon", AND(data[[#This Row],[hour]]&gt;=18, data[[#This Row],[hour]]&lt;=23), "Evening", TRUE, "Night")</f>
        <v>Night</v>
      </c>
      <c r="B41">
        <v>7.4</v>
      </c>
      <c r="C41">
        <f>IFERROR( ROUND(data[[#This Row],[kills]]/data[[#This Row],[deaths]],2), 0)</f>
        <v>1.5</v>
      </c>
      <c r="D41">
        <f>IFERROR( ROUND(data[[#This Row],[headshots]]/data[[#This Row],[kills]]*100,2),0)</f>
        <v>77.78</v>
      </c>
      <c r="E41">
        <f>ROUND(data[[#This Row],[kills]]/data[[#This Row],[session_duration_min]],2)</f>
        <v>1.22</v>
      </c>
      <c r="F41">
        <v>-1</v>
      </c>
      <c r="G41">
        <v>1.5</v>
      </c>
      <c r="H41">
        <v>-1</v>
      </c>
      <c r="I41">
        <v>-1</v>
      </c>
      <c r="J41">
        <v>-1</v>
      </c>
      <c r="K41">
        <v>77.78</v>
      </c>
      <c r="L41">
        <v>-1</v>
      </c>
      <c r="M41">
        <v>-1</v>
      </c>
      <c r="N41">
        <v>-1</v>
      </c>
      <c r="O41">
        <v>1.22</v>
      </c>
      <c r="P41">
        <v>-1</v>
      </c>
      <c r="Q41">
        <v>-1</v>
      </c>
    </row>
    <row r="42" spans="1:17" x14ac:dyDescent="0.25">
      <c r="A42" t="str" cm="1">
        <f t="array" ref="A42">_xlfn.SWITCH(TRUE, AND(data[[#This Row],[hour]]&gt;=6, data[[#This Row],[hour]]&lt;=11), "Morning", AND(data[[#This Row],[hour]]&gt;=12, data[[#This Row],[hour]]&lt;=17), "Afternoon", AND(data[[#This Row],[hour]]&gt;=18, data[[#This Row],[hour]]&lt;=23), "Evening", TRUE, "Night")</f>
        <v>Night</v>
      </c>
      <c r="B42">
        <v>37.716666666666669</v>
      </c>
      <c r="C42">
        <f>IFERROR( ROUND(data[[#This Row],[kills]]/data[[#This Row],[deaths]],2), 0)</f>
        <v>1.62</v>
      </c>
      <c r="D42">
        <f>IFERROR( ROUND(data[[#This Row],[headshots]]/data[[#This Row],[kills]]*100,2),0)</f>
        <v>63.83</v>
      </c>
      <c r="E42">
        <f>ROUND(data[[#This Row],[kills]]/data[[#This Row],[session_duration_min]],2)</f>
        <v>1.25</v>
      </c>
      <c r="F42">
        <v>-1</v>
      </c>
      <c r="G42">
        <v>1.62</v>
      </c>
      <c r="H42">
        <v>-1</v>
      </c>
      <c r="I42">
        <v>-1</v>
      </c>
      <c r="J42">
        <v>-1</v>
      </c>
      <c r="K42">
        <v>63.83</v>
      </c>
      <c r="L42">
        <v>-1</v>
      </c>
      <c r="M42">
        <v>-1</v>
      </c>
      <c r="N42">
        <v>-1</v>
      </c>
      <c r="O42">
        <v>1.25</v>
      </c>
      <c r="P42">
        <v>-1</v>
      </c>
      <c r="Q42">
        <v>-1</v>
      </c>
    </row>
    <row r="43" spans="1:17" x14ac:dyDescent="0.25">
      <c r="A43" t="str" cm="1">
        <f t="array" ref="A43">_xlfn.SWITCH(TRUE, AND(data[[#This Row],[hour]]&gt;=6, data[[#This Row],[hour]]&lt;=11), "Morning", AND(data[[#This Row],[hour]]&gt;=12, data[[#This Row],[hour]]&lt;=17), "Afternoon", AND(data[[#This Row],[hour]]&gt;=18, data[[#This Row],[hour]]&lt;=23), "Evening", TRUE, "Night")</f>
        <v>Night</v>
      </c>
      <c r="B43">
        <v>9.6333333333333329</v>
      </c>
      <c r="C43">
        <f>IFERROR( ROUND(data[[#This Row],[kills]]/data[[#This Row],[deaths]],2), 0)</f>
        <v>0.73</v>
      </c>
      <c r="D43">
        <f>IFERROR( ROUND(data[[#This Row],[headshots]]/data[[#This Row],[kills]]*100,2),0)</f>
        <v>50</v>
      </c>
      <c r="E43">
        <f>ROUND(data[[#This Row],[kills]]/data[[#This Row],[session_duration_min]],2)</f>
        <v>0.83</v>
      </c>
      <c r="F43">
        <v>-1</v>
      </c>
      <c r="G43">
        <v>0.73</v>
      </c>
      <c r="H43">
        <v>-1</v>
      </c>
      <c r="I43">
        <v>-1</v>
      </c>
      <c r="J43">
        <v>-1</v>
      </c>
      <c r="K43">
        <v>50</v>
      </c>
      <c r="L43">
        <v>-1</v>
      </c>
      <c r="M43">
        <v>-1</v>
      </c>
      <c r="N43">
        <v>-1</v>
      </c>
      <c r="O43">
        <v>0.83</v>
      </c>
      <c r="P43">
        <v>-1</v>
      </c>
      <c r="Q43">
        <v>-1</v>
      </c>
    </row>
    <row r="44" spans="1:17" x14ac:dyDescent="0.25">
      <c r="A44" t="str" cm="1">
        <f t="array" ref="A44">_xlfn.SWITCH(TRUE, AND(data[[#This Row],[hour]]&gt;=6, data[[#This Row],[hour]]&lt;=11), "Morning", AND(data[[#This Row],[hour]]&gt;=12, data[[#This Row],[hour]]&lt;=17), "Afternoon", AND(data[[#This Row],[hour]]&gt;=18, data[[#This Row],[hour]]&lt;=23), "Evening", TRUE, "Night")</f>
        <v>Morning</v>
      </c>
      <c r="B44">
        <v>6.0166666666666666</v>
      </c>
      <c r="C44">
        <f>IFERROR( ROUND(data[[#This Row],[kills]]/data[[#This Row],[deaths]],2), 0)</f>
        <v>1</v>
      </c>
      <c r="D44">
        <f>IFERROR( ROUND(data[[#This Row],[headshots]]/data[[#This Row],[kills]]*100,2),0)</f>
        <v>100</v>
      </c>
      <c r="E44">
        <f>ROUND(data[[#This Row],[kills]]/data[[#This Row],[session_duration_min]],2)</f>
        <v>0.66</v>
      </c>
      <c r="F44">
        <v>-1</v>
      </c>
      <c r="G44">
        <v>-1</v>
      </c>
      <c r="H44">
        <v>1</v>
      </c>
      <c r="I44">
        <v>-1</v>
      </c>
      <c r="J44">
        <v>-1</v>
      </c>
      <c r="K44">
        <v>-1</v>
      </c>
      <c r="L44">
        <v>100</v>
      </c>
      <c r="M44">
        <v>-1</v>
      </c>
      <c r="N44">
        <v>-1</v>
      </c>
      <c r="O44">
        <v>-1</v>
      </c>
      <c r="P44">
        <v>0.66</v>
      </c>
      <c r="Q44">
        <v>-1</v>
      </c>
    </row>
    <row r="45" spans="1:17" x14ac:dyDescent="0.25">
      <c r="A45" t="str" cm="1">
        <f t="array" ref="A45">_xlfn.SWITCH(TRUE, AND(data[[#This Row],[hour]]&gt;=6, data[[#This Row],[hour]]&lt;=11), "Morning", AND(data[[#This Row],[hour]]&gt;=12, data[[#This Row],[hour]]&lt;=17), "Afternoon", AND(data[[#This Row],[hour]]&gt;=18, data[[#This Row],[hour]]&lt;=23), "Evening", TRUE, "Night")</f>
        <v>Evening</v>
      </c>
      <c r="B45">
        <v>16.3</v>
      </c>
      <c r="C45">
        <f>IFERROR( ROUND(data[[#This Row],[kills]]/data[[#This Row],[deaths]],2), 0)</f>
        <v>1.31</v>
      </c>
      <c r="D45">
        <f>IFERROR( ROUND(data[[#This Row],[headshots]]/data[[#This Row],[kills]]*100,2),0)</f>
        <v>82.35</v>
      </c>
      <c r="E45">
        <f>ROUND(data[[#This Row],[kills]]/data[[#This Row],[session_duration_min]],2)</f>
        <v>1.04</v>
      </c>
      <c r="F45">
        <v>1.31</v>
      </c>
      <c r="G45">
        <v>-1</v>
      </c>
      <c r="H45">
        <v>-1</v>
      </c>
      <c r="I45">
        <v>-1</v>
      </c>
      <c r="J45">
        <v>82.35</v>
      </c>
      <c r="K45">
        <v>-1</v>
      </c>
      <c r="L45">
        <v>-1</v>
      </c>
      <c r="M45">
        <v>-1</v>
      </c>
      <c r="N45">
        <v>1.04</v>
      </c>
      <c r="O45">
        <v>-1</v>
      </c>
      <c r="P45">
        <v>-1</v>
      </c>
      <c r="Q45">
        <v>-1</v>
      </c>
    </row>
    <row r="46" spans="1:17" x14ac:dyDescent="0.25">
      <c r="A46" t="str" cm="1">
        <f t="array" ref="A46">_xlfn.SWITCH(TRUE, AND(data[[#This Row],[hour]]&gt;=6, data[[#This Row],[hour]]&lt;=11), "Morning", AND(data[[#This Row],[hour]]&gt;=12, data[[#This Row],[hour]]&lt;=17), "Afternoon", AND(data[[#This Row],[hour]]&gt;=18, data[[#This Row],[hour]]&lt;=23), "Evening", TRUE, "Night")</f>
        <v>Night</v>
      </c>
      <c r="B46">
        <v>1.6666666666666667</v>
      </c>
      <c r="C46">
        <f>IFERROR( ROUND(data[[#This Row],[kills]]/data[[#This Row],[deaths]],2), 0)</f>
        <v>2</v>
      </c>
      <c r="D46">
        <f>IFERROR( ROUND(data[[#This Row],[headshots]]/data[[#This Row],[kills]]*100,2),0)</f>
        <v>100</v>
      </c>
      <c r="E46">
        <f>ROUND(data[[#This Row],[kills]]/data[[#This Row],[session_duration_min]],2)</f>
        <v>1.2</v>
      </c>
      <c r="F46">
        <v>-1</v>
      </c>
      <c r="G46">
        <v>2</v>
      </c>
      <c r="H46">
        <v>-1</v>
      </c>
      <c r="I46">
        <v>-1</v>
      </c>
      <c r="J46">
        <v>-1</v>
      </c>
      <c r="K46">
        <v>100</v>
      </c>
      <c r="L46">
        <v>-1</v>
      </c>
      <c r="M46">
        <v>-1</v>
      </c>
      <c r="N46">
        <v>-1</v>
      </c>
      <c r="O46">
        <v>1.2</v>
      </c>
      <c r="P46">
        <v>-1</v>
      </c>
      <c r="Q46">
        <v>-1</v>
      </c>
    </row>
    <row r="47" spans="1:17" x14ac:dyDescent="0.25">
      <c r="A47" t="str" cm="1">
        <f t="array" ref="A47">_xlfn.SWITCH(TRUE, AND(data[[#This Row],[hour]]&gt;=6, data[[#This Row],[hour]]&lt;=11), "Morning", AND(data[[#This Row],[hour]]&gt;=12, data[[#This Row],[hour]]&lt;=17), "Afternoon", AND(data[[#This Row],[hour]]&gt;=18, data[[#This Row],[hour]]&lt;=23), "Evening", TRUE, "Night")</f>
        <v>Afternoon</v>
      </c>
      <c r="B47">
        <v>41.716666666666669</v>
      </c>
      <c r="C47">
        <f>IFERROR( ROUND(data[[#This Row],[kills]]/data[[#This Row],[deaths]],2), 0)</f>
        <v>3.23</v>
      </c>
      <c r="D47">
        <f>IFERROR( ROUND(data[[#This Row],[headshots]]/data[[#This Row],[kills]]*100,2),0)</f>
        <v>76.06</v>
      </c>
      <c r="E47">
        <f>ROUND(data[[#This Row],[kills]]/data[[#This Row],[session_duration_min]],2)</f>
        <v>1.7</v>
      </c>
      <c r="F47">
        <v>-1</v>
      </c>
      <c r="G47">
        <v>-1</v>
      </c>
      <c r="H47">
        <v>-1</v>
      </c>
      <c r="I47">
        <v>3.23</v>
      </c>
      <c r="J47">
        <v>-1</v>
      </c>
      <c r="K47">
        <v>-1</v>
      </c>
      <c r="L47">
        <v>-1</v>
      </c>
      <c r="M47">
        <v>76.06</v>
      </c>
      <c r="N47">
        <v>-1</v>
      </c>
      <c r="O47">
        <v>-1</v>
      </c>
      <c r="P47">
        <v>-1</v>
      </c>
      <c r="Q47">
        <v>1.7</v>
      </c>
    </row>
    <row r="48" spans="1:17" x14ac:dyDescent="0.25">
      <c r="A48" t="str" cm="1">
        <f t="array" ref="A48">_xlfn.SWITCH(TRUE, AND(data[[#This Row],[hour]]&gt;=6, data[[#This Row],[hour]]&lt;=11), "Morning", AND(data[[#This Row],[hour]]&gt;=12, data[[#This Row],[hour]]&lt;=17), "Afternoon", AND(data[[#This Row],[hour]]&gt;=18, data[[#This Row],[hour]]&lt;=23), "Evening", TRUE, "Night")</f>
        <v>Evening</v>
      </c>
      <c r="B48">
        <v>27.65</v>
      </c>
      <c r="C48">
        <f>IFERROR( ROUND(data[[#This Row],[kills]]/data[[#This Row],[deaths]],2), 0)</f>
        <v>1.62</v>
      </c>
      <c r="D48">
        <f>IFERROR( ROUND(data[[#This Row],[headshots]]/data[[#This Row],[kills]]*100,2),0)</f>
        <v>79.41</v>
      </c>
      <c r="E48">
        <f>ROUND(data[[#This Row],[kills]]/data[[#This Row],[session_duration_min]],2)</f>
        <v>1.23</v>
      </c>
      <c r="F48">
        <v>1.62</v>
      </c>
      <c r="G48">
        <v>-1</v>
      </c>
      <c r="H48">
        <v>-1</v>
      </c>
      <c r="I48">
        <v>-1</v>
      </c>
      <c r="J48">
        <v>79.41</v>
      </c>
      <c r="K48">
        <v>-1</v>
      </c>
      <c r="L48">
        <v>-1</v>
      </c>
      <c r="M48">
        <v>-1</v>
      </c>
      <c r="N48">
        <v>1.23</v>
      </c>
      <c r="O48">
        <v>-1</v>
      </c>
      <c r="P48">
        <v>-1</v>
      </c>
      <c r="Q48">
        <v>-1</v>
      </c>
    </row>
    <row r="49" spans="1:17" x14ac:dyDescent="0.25">
      <c r="A49" t="str" cm="1">
        <f t="array" ref="A49">_xlfn.SWITCH(TRUE, AND(data[[#This Row],[hour]]&gt;=6, data[[#This Row],[hour]]&lt;=11), "Morning", AND(data[[#This Row],[hour]]&gt;=12, data[[#This Row],[hour]]&lt;=17), "Afternoon", AND(data[[#This Row],[hour]]&gt;=18, data[[#This Row],[hour]]&lt;=23), "Evening", TRUE, "Night")</f>
        <v>Evening</v>
      </c>
      <c r="B49">
        <v>3.4666666666666668</v>
      </c>
      <c r="C49">
        <f>IFERROR( ROUND(data[[#This Row],[kills]]/data[[#This Row],[deaths]],2), 0)</f>
        <v>2.25</v>
      </c>
      <c r="D49">
        <f>IFERROR( ROUND(data[[#This Row],[headshots]]/data[[#This Row],[kills]]*100,2),0)</f>
        <v>88.89</v>
      </c>
      <c r="E49">
        <f>ROUND(data[[#This Row],[kills]]/data[[#This Row],[session_duration_min]],2)</f>
        <v>2.6</v>
      </c>
      <c r="F49">
        <v>2.25</v>
      </c>
      <c r="G49">
        <v>-1</v>
      </c>
      <c r="H49">
        <v>-1</v>
      </c>
      <c r="I49">
        <v>-1</v>
      </c>
      <c r="J49">
        <v>88.89</v>
      </c>
      <c r="K49">
        <v>-1</v>
      </c>
      <c r="L49">
        <v>-1</v>
      </c>
      <c r="M49">
        <v>-1</v>
      </c>
      <c r="N49">
        <v>2.6</v>
      </c>
      <c r="O49">
        <v>-1</v>
      </c>
      <c r="P49">
        <v>-1</v>
      </c>
      <c r="Q49">
        <v>-1</v>
      </c>
    </row>
    <row r="50" spans="1:17" x14ac:dyDescent="0.25">
      <c r="A50" t="str" cm="1">
        <f t="array" ref="A50">_xlfn.SWITCH(TRUE, AND(data[[#This Row],[hour]]&gt;=6, data[[#This Row],[hour]]&lt;=11), "Morning", AND(data[[#This Row],[hour]]&gt;=12, data[[#This Row],[hour]]&lt;=17), "Afternoon", AND(data[[#This Row],[hour]]&gt;=18, data[[#This Row],[hour]]&lt;=23), "Evening", TRUE, "Night")</f>
        <v>Evening</v>
      </c>
      <c r="B50">
        <v>11.783333333333333</v>
      </c>
      <c r="C50">
        <f>IFERROR( ROUND(data[[#This Row],[kills]]/data[[#This Row],[deaths]],2), 0)</f>
        <v>3.67</v>
      </c>
      <c r="D50">
        <f>IFERROR( ROUND(data[[#This Row],[headshots]]/data[[#This Row],[kills]]*100,2),0)</f>
        <v>63.64</v>
      </c>
      <c r="E50">
        <f>ROUND(data[[#This Row],[kills]]/data[[#This Row],[session_duration_min]],2)</f>
        <v>0.93</v>
      </c>
      <c r="F50">
        <v>3.67</v>
      </c>
      <c r="G50">
        <v>-1</v>
      </c>
      <c r="H50">
        <v>-1</v>
      </c>
      <c r="I50">
        <v>-1</v>
      </c>
      <c r="J50">
        <v>63.64</v>
      </c>
      <c r="K50">
        <v>-1</v>
      </c>
      <c r="L50">
        <v>-1</v>
      </c>
      <c r="M50">
        <v>-1</v>
      </c>
      <c r="N50">
        <v>0.93</v>
      </c>
      <c r="O50">
        <v>-1</v>
      </c>
      <c r="P50">
        <v>-1</v>
      </c>
      <c r="Q50">
        <v>-1</v>
      </c>
    </row>
    <row r="51" spans="1:17" x14ac:dyDescent="0.25">
      <c r="A51" t="str" cm="1">
        <f t="array" ref="A51">_xlfn.SWITCH(TRUE, AND(data[[#This Row],[hour]]&gt;=6, data[[#This Row],[hour]]&lt;=11), "Morning", AND(data[[#This Row],[hour]]&gt;=12, data[[#This Row],[hour]]&lt;=17), "Afternoon", AND(data[[#This Row],[hour]]&gt;=18, data[[#This Row],[hour]]&lt;=23), "Evening", TRUE, "Night")</f>
        <v>Night</v>
      </c>
      <c r="B51">
        <v>6.6333333333333337</v>
      </c>
      <c r="C51">
        <f>IFERROR( ROUND(data[[#This Row],[kills]]/data[[#This Row],[deaths]],2), 0)</f>
        <v>0.83</v>
      </c>
      <c r="D51">
        <f>IFERROR( ROUND(data[[#This Row],[headshots]]/data[[#This Row],[kills]]*100,2),0)</f>
        <v>80</v>
      </c>
      <c r="E51">
        <f>ROUND(data[[#This Row],[kills]]/data[[#This Row],[session_duration_min]],2)</f>
        <v>0.75</v>
      </c>
      <c r="F51">
        <v>-1</v>
      </c>
      <c r="G51">
        <v>0.83</v>
      </c>
      <c r="H51">
        <v>-1</v>
      </c>
      <c r="I51">
        <v>-1</v>
      </c>
      <c r="J51">
        <v>-1</v>
      </c>
      <c r="K51">
        <v>80</v>
      </c>
      <c r="L51">
        <v>-1</v>
      </c>
      <c r="M51">
        <v>-1</v>
      </c>
      <c r="N51">
        <v>-1</v>
      </c>
      <c r="O51">
        <v>0.75</v>
      </c>
      <c r="P51">
        <v>-1</v>
      </c>
      <c r="Q51">
        <v>-1</v>
      </c>
    </row>
    <row r="52" spans="1:17" x14ac:dyDescent="0.25">
      <c r="A52" t="str" cm="1">
        <f t="array" ref="A52">_xlfn.SWITCH(TRUE, AND(data[[#This Row],[hour]]&gt;=6, data[[#This Row],[hour]]&lt;=11), "Morning", AND(data[[#This Row],[hour]]&gt;=12, data[[#This Row],[hour]]&lt;=17), "Afternoon", AND(data[[#This Row],[hour]]&gt;=18, data[[#This Row],[hour]]&lt;=23), "Evening", TRUE, "Night")</f>
        <v>Afternoon</v>
      </c>
      <c r="B52">
        <v>23.433333333333334</v>
      </c>
      <c r="C52">
        <f>IFERROR( ROUND(data[[#This Row],[kills]]/data[[#This Row],[deaths]],2), 0)</f>
        <v>2.15</v>
      </c>
      <c r="D52">
        <f>IFERROR( ROUND(data[[#This Row],[headshots]]/data[[#This Row],[kills]]*100,2),0)</f>
        <v>85.71</v>
      </c>
      <c r="E52">
        <f>ROUND(data[[#This Row],[kills]]/data[[#This Row],[session_duration_min]],2)</f>
        <v>1.19</v>
      </c>
      <c r="F52">
        <v>-1</v>
      </c>
      <c r="G52">
        <v>-1</v>
      </c>
      <c r="H52">
        <v>-1</v>
      </c>
      <c r="I52">
        <v>2.15</v>
      </c>
      <c r="J52">
        <v>-1</v>
      </c>
      <c r="K52">
        <v>-1</v>
      </c>
      <c r="L52">
        <v>-1</v>
      </c>
      <c r="M52">
        <v>85.71</v>
      </c>
      <c r="N52">
        <v>-1</v>
      </c>
      <c r="O52">
        <v>-1</v>
      </c>
      <c r="P52">
        <v>-1</v>
      </c>
      <c r="Q52">
        <v>1.19</v>
      </c>
    </row>
    <row r="53" spans="1:17" x14ac:dyDescent="0.25">
      <c r="A53" t="str" cm="1">
        <f t="array" ref="A53">_xlfn.SWITCH(TRUE, AND(data[[#This Row],[hour]]&gt;=6, data[[#This Row],[hour]]&lt;=11), "Morning", AND(data[[#This Row],[hour]]&gt;=12, data[[#This Row],[hour]]&lt;=17), "Afternoon", AND(data[[#This Row],[hour]]&gt;=18, data[[#This Row],[hour]]&lt;=23), "Evening", TRUE, "Night")</f>
        <v>Evening</v>
      </c>
      <c r="B53">
        <v>5.6333333333333337</v>
      </c>
      <c r="C53">
        <f>IFERROR( ROUND(data[[#This Row],[kills]]/data[[#This Row],[deaths]],2), 0)</f>
        <v>1.75</v>
      </c>
      <c r="D53">
        <f>IFERROR( ROUND(data[[#This Row],[headshots]]/data[[#This Row],[kills]]*100,2),0)</f>
        <v>85.71</v>
      </c>
      <c r="E53">
        <f>ROUND(data[[#This Row],[kills]]/data[[#This Row],[session_duration_min]],2)</f>
        <v>1.24</v>
      </c>
      <c r="F53">
        <v>1.75</v>
      </c>
      <c r="G53">
        <v>-1</v>
      </c>
      <c r="H53">
        <v>-1</v>
      </c>
      <c r="I53">
        <v>-1</v>
      </c>
      <c r="J53">
        <v>85.71</v>
      </c>
      <c r="K53">
        <v>-1</v>
      </c>
      <c r="L53">
        <v>-1</v>
      </c>
      <c r="M53">
        <v>-1</v>
      </c>
      <c r="N53">
        <v>1.24</v>
      </c>
      <c r="O53">
        <v>-1</v>
      </c>
      <c r="P53">
        <v>-1</v>
      </c>
      <c r="Q53">
        <v>-1</v>
      </c>
    </row>
    <row r="54" spans="1:17" x14ac:dyDescent="0.25">
      <c r="A54" t="str" cm="1">
        <f t="array" ref="A54">_xlfn.SWITCH(TRUE, AND(data[[#This Row],[hour]]&gt;=6, data[[#This Row],[hour]]&lt;=11), "Morning", AND(data[[#This Row],[hour]]&gt;=12, data[[#This Row],[hour]]&lt;=17), "Afternoon", AND(data[[#This Row],[hour]]&gt;=18, data[[#This Row],[hour]]&lt;=23), "Evening", TRUE, "Night")</f>
        <v>Evening</v>
      </c>
      <c r="B54">
        <v>2.2833333333333332</v>
      </c>
      <c r="C54">
        <f>IFERROR( ROUND(data[[#This Row],[kills]]/data[[#This Row],[deaths]],2), 0)</f>
        <v>0</v>
      </c>
      <c r="D54">
        <f>IFERROR( ROUND(data[[#This Row],[headshots]]/data[[#This Row],[kills]]*100,2),0)</f>
        <v>0</v>
      </c>
      <c r="E54">
        <f>ROUND(data[[#This Row],[kills]]/data[[#This Row],[session_duration_min]],2)</f>
        <v>0</v>
      </c>
      <c r="F54">
        <v>0</v>
      </c>
      <c r="G54">
        <v>-1</v>
      </c>
      <c r="H54">
        <v>-1</v>
      </c>
      <c r="I54">
        <v>-1</v>
      </c>
      <c r="J54">
        <v>0</v>
      </c>
      <c r="K54">
        <v>-1</v>
      </c>
      <c r="L54">
        <v>-1</v>
      </c>
      <c r="M54">
        <v>-1</v>
      </c>
      <c r="N54">
        <v>0</v>
      </c>
      <c r="O54">
        <v>-1</v>
      </c>
      <c r="P54">
        <v>-1</v>
      </c>
      <c r="Q54">
        <v>-1</v>
      </c>
    </row>
    <row r="55" spans="1:17" x14ac:dyDescent="0.25">
      <c r="A55" t="str" cm="1">
        <f t="array" ref="A55">_xlfn.SWITCH(TRUE, AND(data[[#This Row],[hour]]&gt;=6, data[[#This Row],[hour]]&lt;=11), "Morning", AND(data[[#This Row],[hour]]&gt;=12, data[[#This Row],[hour]]&lt;=17), "Afternoon", AND(data[[#This Row],[hour]]&gt;=18, data[[#This Row],[hour]]&lt;=23), "Evening", TRUE, "Night")</f>
        <v>Evening</v>
      </c>
      <c r="B55">
        <v>13.9</v>
      </c>
      <c r="C55">
        <f>IFERROR( ROUND(data[[#This Row],[kills]]/data[[#This Row],[deaths]],2), 0)</f>
        <v>1.6</v>
      </c>
      <c r="D55">
        <f>IFERROR( ROUND(data[[#This Row],[headshots]]/data[[#This Row],[kills]]*100,2),0)</f>
        <v>81.25</v>
      </c>
      <c r="E55">
        <f>ROUND(data[[#This Row],[kills]]/data[[#This Row],[session_duration_min]],2)</f>
        <v>1.1499999999999999</v>
      </c>
      <c r="F55">
        <v>1.6</v>
      </c>
      <c r="G55">
        <v>-1</v>
      </c>
      <c r="H55">
        <v>-1</v>
      </c>
      <c r="I55">
        <v>-1</v>
      </c>
      <c r="J55">
        <v>81.25</v>
      </c>
      <c r="K55">
        <v>-1</v>
      </c>
      <c r="L55">
        <v>-1</v>
      </c>
      <c r="M55">
        <v>-1</v>
      </c>
      <c r="N55">
        <v>1.1499999999999999</v>
      </c>
      <c r="O55">
        <v>-1</v>
      </c>
      <c r="P55">
        <v>-1</v>
      </c>
      <c r="Q55">
        <v>-1</v>
      </c>
    </row>
    <row r="56" spans="1:17" x14ac:dyDescent="0.25">
      <c r="A56" t="str" cm="1">
        <f t="array" ref="A56">_xlfn.SWITCH(TRUE, AND(data[[#This Row],[hour]]&gt;=6, data[[#This Row],[hour]]&lt;=11), "Morning", AND(data[[#This Row],[hour]]&gt;=12, data[[#This Row],[hour]]&lt;=17), "Afternoon", AND(data[[#This Row],[hour]]&gt;=18, data[[#This Row],[hour]]&lt;=23), "Evening", TRUE, "Night")</f>
        <v>Evening</v>
      </c>
      <c r="B56">
        <v>37.283333333333331</v>
      </c>
      <c r="C56">
        <f>IFERROR( ROUND(data[[#This Row],[kills]]/data[[#This Row],[deaths]],2), 0)</f>
        <v>2</v>
      </c>
      <c r="D56">
        <f>IFERROR( ROUND(data[[#This Row],[headshots]]/data[[#This Row],[kills]]*100,2),0)</f>
        <v>79.55</v>
      </c>
      <c r="E56">
        <f>ROUND(data[[#This Row],[kills]]/data[[#This Row],[session_duration_min]],2)</f>
        <v>1.18</v>
      </c>
      <c r="F56">
        <v>2</v>
      </c>
      <c r="G56">
        <v>-1</v>
      </c>
      <c r="H56">
        <v>-1</v>
      </c>
      <c r="I56">
        <v>-1</v>
      </c>
      <c r="J56">
        <v>79.55</v>
      </c>
      <c r="K56">
        <v>-1</v>
      </c>
      <c r="L56">
        <v>-1</v>
      </c>
      <c r="M56">
        <v>-1</v>
      </c>
      <c r="N56">
        <v>1.18</v>
      </c>
      <c r="O56">
        <v>-1</v>
      </c>
      <c r="P56">
        <v>-1</v>
      </c>
      <c r="Q56">
        <v>-1</v>
      </c>
    </row>
    <row r="57" spans="1:17" x14ac:dyDescent="0.25">
      <c r="A57" t="str" cm="1">
        <f t="array" ref="A57">_xlfn.SWITCH(TRUE, AND(data[[#This Row],[hour]]&gt;=6, data[[#This Row],[hour]]&lt;=11), "Morning", AND(data[[#This Row],[hour]]&gt;=12, data[[#This Row],[hour]]&lt;=17), "Afternoon", AND(data[[#This Row],[hour]]&gt;=18, data[[#This Row],[hour]]&lt;=23), "Evening", TRUE, "Night")</f>
        <v>Evening</v>
      </c>
      <c r="B57">
        <v>15.2</v>
      </c>
      <c r="C57">
        <f>IFERROR( ROUND(data[[#This Row],[kills]]/data[[#This Row],[deaths]],2), 0)</f>
        <v>1.23</v>
      </c>
      <c r="D57">
        <f>IFERROR( ROUND(data[[#This Row],[headshots]]/data[[#This Row],[kills]]*100,2),0)</f>
        <v>87.5</v>
      </c>
      <c r="E57">
        <f>ROUND(data[[#This Row],[kills]]/data[[#This Row],[session_duration_min]],2)</f>
        <v>1.05</v>
      </c>
      <c r="F57">
        <v>1.23</v>
      </c>
      <c r="G57">
        <v>-1</v>
      </c>
      <c r="H57">
        <v>-1</v>
      </c>
      <c r="I57">
        <v>-1</v>
      </c>
      <c r="J57">
        <v>87.5</v>
      </c>
      <c r="K57">
        <v>-1</v>
      </c>
      <c r="L57">
        <v>-1</v>
      </c>
      <c r="M57">
        <v>-1</v>
      </c>
      <c r="N57">
        <v>1.05</v>
      </c>
      <c r="O57">
        <v>-1</v>
      </c>
      <c r="P57">
        <v>-1</v>
      </c>
      <c r="Q57">
        <v>-1</v>
      </c>
    </row>
    <row r="58" spans="1:17" x14ac:dyDescent="0.25">
      <c r="A58" t="str" cm="1">
        <f t="array" ref="A58">_xlfn.SWITCH(TRUE, AND(data[[#This Row],[hour]]&gt;=6, data[[#This Row],[hour]]&lt;=11), "Morning", AND(data[[#This Row],[hour]]&gt;=12, data[[#This Row],[hour]]&lt;=17), "Afternoon", AND(data[[#This Row],[hour]]&gt;=18, data[[#This Row],[hour]]&lt;=23), "Evening", TRUE, "Night")</f>
        <v>Evening</v>
      </c>
      <c r="B58">
        <v>14.133333333333333</v>
      </c>
      <c r="C58">
        <f>IFERROR( ROUND(data[[#This Row],[kills]]/data[[#This Row],[deaths]],2), 0)</f>
        <v>1.1100000000000001</v>
      </c>
      <c r="D58">
        <f>IFERROR( ROUND(data[[#This Row],[headshots]]/data[[#This Row],[kills]]*100,2),0)</f>
        <v>90</v>
      </c>
      <c r="E58">
        <f>ROUND(data[[#This Row],[kills]]/data[[#This Row],[session_duration_min]],2)</f>
        <v>0.71</v>
      </c>
      <c r="F58">
        <v>1.1100000000000001</v>
      </c>
      <c r="G58">
        <v>-1</v>
      </c>
      <c r="H58">
        <v>-1</v>
      </c>
      <c r="I58">
        <v>-1</v>
      </c>
      <c r="J58">
        <v>90</v>
      </c>
      <c r="K58">
        <v>-1</v>
      </c>
      <c r="L58">
        <v>-1</v>
      </c>
      <c r="M58">
        <v>-1</v>
      </c>
      <c r="N58">
        <v>0.71</v>
      </c>
      <c r="O58">
        <v>-1</v>
      </c>
      <c r="P58">
        <v>-1</v>
      </c>
      <c r="Q58">
        <v>-1</v>
      </c>
    </row>
    <row r="59" spans="1:17" x14ac:dyDescent="0.25">
      <c r="A59" t="str" cm="1">
        <f t="array" ref="A59">_xlfn.SWITCH(TRUE, AND(data[[#This Row],[hour]]&gt;=6, data[[#This Row],[hour]]&lt;=11), "Morning", AND(data[[#This Row],[hour]]&gt;=12, data[[#This Row],[hour]]&lt;=17), "Afternoon", AND(data[[#This Row],[hour]]&gt;=18, data[[#This Row],[hour]]&lt;=23), "Evening", TRUE, "Night")</f>
        <v>Evening</v>
      </c>
      <c r="B59">
        <v>46.3</v>
      </c>
      <c r="C59">
        <f>IFERROR( ROUND(data[[#This Row],[kills]]/data[[#This Row],[deaths]],2), 0)</f>
        <v>1.18</v>
      </c>
      <c r="D59">
        <f>IFERROR( ROUND(data[[#This Row],[headshots]]/data[[#This Row],[kills]]*100,2),0)</f>
        <v>82.61</v>
      </c>
      <c r="E59">
        <f>ROUND(data[[#This Row],[kills]]/data[[#This Row],[session_duration_min]],2)</f>
        <v>0.99</v>
      </c>
      <c r="F59">
        <v>1.18</v>
      </c>
      <c r="G59">
        <v>-1</v>
      </c>
      <c r="H59">
        <v>-1</v>
      </c>
      <c r="I59">
        <v>-1</v>
      </c>
      <c r="J59">
        <v>82.61</v>
      </c>
      <c r="K59">
        <v>-1</v>
      </c>
      <c r="L59">
        <v>-1</v>
      </c>
      <c r="M59">
        <v>-1</v>
      </c>
      <c r="N59">
        <v>0.99</v>
      </c>
      <c r="O59">
        <v>-1</v>
      </c>
      <c r="P59">
        <v>-1</v>
      </c>
      <c r="Q59">
        <v>-1</v>
      </c>
    </row>
    <row r="60" spans="1:17" x14ac:dyDescent="0.25">
      <c r="A60" t="str" cm="1">
        <f t="array" ref="A60">_xlfn.SWITCH(TRUE, AND(data[[#This Row],[hour]]&gt;=6, data[[#This Row],[hour]]&lt;=11), "Morning", AND(data[[#This Row],[hour]]&gt;=12, data[[#This Row],[hour]]&lt;=17), "Afternoon", AND(data[[#This Row],[hour]]&gt;=18, data[[#This Row],[hour]]&lt;=23), "Evening", TRUE, "Night")</f>
        <v>Afternoon</v>
      </c>
      <c r="B60">
        <v>84.45</v>
      </c>
      <c r="C60">
        <f>IFERROR( ROUND(data[[#This Row],[kills]]/data[[#This Row],[deaths]],2), 0)</f>
        <v>1.6</v>
      </c>
      <c r="D60">
        <f>IFERROR( ROUND(data[[#This Row],[headshots]]/data[[#This Row],[kills]]*100,2),0)</f>
        <v>69.11</v>
      </c>
      <c r="E60">
        <f>ROUND(data[[#This Row],[kills]]/data[[#This Row],[session_duration_min]],2)</f>
        <v>1.46</v>
      </c>
      <c r="F60">
        <v>-1</v>
      </c>
      <c r="G60">
        <v>-1</v>
      </c>
      <c r="H60">
        <v>-1</v>
      </c>
      <c r="I60">
        <v>1.6</v>
      </c>
      <c r="J60">
        <v>-1</v>
      </c>
      <c r="K60">
        <v>-1</v>
      </c>
      <c r="L60">
        <v>-1</v>
      </c>
      <c r="M60">
        <v>69.11</v>
      </c>
      <c r="N60">
        <v>-1</v>
      </c>
      <c r="O60">
        <v>-1</v>
      </c>
      <c r="P60">
        <v>-1</v>
      </c>
      <c r="Q60">
        <v>1.46</v>
      </c>
    </row>
    <row r="61" spans="1:17" x14ac:dyDescent="0.25">
      <c r="A61" t="str" cm="1">
        <f t="array" ref="A61">_xlfn.SWITCH(TRUE, AND(data[[#This Row],[hour]]&gt;=6, data[[#This Row],[hour]]&lt;=11), "Morning", AND(data[[#This Row],[hour]]&gt;=12, data[[#This Row],[hour]]&lt;=17), "Afternoon", AND(data[[#This Row],[hour]]&gt;=18, data[[#This Row],[hour]]&lt;=23), "Evening", TRUE, "Night")</f>
        <v>Evening</v>
      </c>
      <c r="B61">
        <v>57.533333333333331</v>
      </c>
      <c r="C61">
        <f>IFERROR( ROUND(data[[#This Row],[kills]]/data[[#This Row],[deaths]],2), 0)</f>
        <v>1.39</v>
      </c>
      <c r="D61">
        <f>IFERROR( ROUND(data[[#This Row],[headshots]]/data[[#This Row],[kills]]*100,2),0)</f>
        <v>77.94</v>
      </c>
      <c r="E61">
        <f>ROUND(data[[#This Row],[kills]]/data[[#This Row],[session_duration_min]],2)</f>
        <v>1.18</v>
      </c>
      <c r="F61">
        <v>1.39</v>
      </c>
      <c r="G61">
        <v>-1</v>
      </c>
      <c r="H61">
        <v>-1</v>
      </c>
      <c r="I61">
        <v>-1</v>
      </c>
      <c r="J61">
        <v>77.94</v>
      </c>
      <c r="K61">
        <v>-1</v>
      </c>
      <c r="L61">
        <v>-1</v>
      </c>
      <c r="M61">
        <v>-1</v>
      </c>
      <c r="N61">
        <v>1.18</v>
      </c>
      <c r="O61">
        <v>-1</v>
      </c>
      <c r="P61">
        <v>-1</v>
      </c>
      <c r="Q61">
        <v>-1</v>
      </c>
    </row>
    <row r="62" spans="1:17" x14ac:dyDescent="0.25">
      <c r="A62" t="str" cm="1">
        <f t="array" ref="A62">_xlfn.SWITCH(TRUE, AND(data[[#This Row],[hour]]&gt;=6, data[[#This Row],[hour]]&lt;=11), "Morning", AND(data[[#This Row],[hour]]&gt;=12, data[[#This Row],[hour]]&lt;=17), "Afternoon", AND(data[[#This Row],[hour]]&gt;=18, data[[#This Row],[hour]]&lt;=23), "Evening", TRUE, "Night")</f>
        <v>Evening</v>
      </c>
      <c r="B62">
        <v>26.883333333333333</v>
      </c>
      <c r="C62">
        <f>IFERROR( ROUND(data[[#This Row],[kills]]/data[[#This Row],[deaths]],2), 0)</f>
        <v>1.0900000000000001</v>
      </c>
      <c r="D62">
        <f>IFERROR( ROUND(data[[#This Row],[headshots]]/data[[#This Row],[kills]]*100,2),0)</f>
        <v>80</v>
      </c>
      <c r="E62">
        <f>ROUND(data[[#This Row],[kills]]/data[[#This Row],[session_duration_min]],2)</f>
        <v>0.93</v>
      </c>
      <c r="F62">
        <v>1.0900000000000001</v>
      </c>
      <c r="G62">
        <v>-1</v>
      </c>
      <c r="H62">
        <v>-1</v>
      </c>
      <c r="I62">
        <v>-1</v>
      </c>
      <c r="J62">
        <v>80</v>
      </c>
      <c r="K62">
        <v>-1</v>
      </c>
      <c r="L62">
        <v>-1</v>
      </c>
      <c r="M62">
        <v>-1</v>
      </c>
      <c r="N62">
        <v>0.93</v>
      </c>
      <c r="O62">
        <v>-1</v>
      </c>
      <c r="P62">
        <v>-1</v>
      </c>
      <c r="Q62">
        <v>-1</v>
      </c>
    </row>
    <row r="63" spans="1:17" x14ac:dyDescent="0.25">
      <c r="A63" t="str" cm="1">
        <f t="array" ref="A63">_xlfn.SWITCH(TRUE, AND(data[[#This Row],[hour]]&gt;=6, data[[#This Row],[hour]]&lt;=11), "Morning", AND(data[[#This Row],[hour]]&gt;=12, data[[#This Row],[hour]]&lt;=17), "Afternoon", AND(data[[#This Row],[hour]]&gt;=18, data[[#This Row],[hour]]&lt;=23), "Evening", TRUE, "Night")</f>
        <v>Evening</v>
      </c>
      <c r="B63">
        <v>34.599999999999994</v>
      </c>
      <c r="C63">
        <f>IFERROR( ROUND(data[[#This Row],[kills]]/data[[#This Row],[deaths]],2), 0)</f>
        <v>2.4300000000000002</v>
      </c>
      <c r="D63">
        <f>IFERROR( ROUND(data[[#This Row],[headshots]]/data[[#This Row],[kills]]*100,2),0)</f>
        <v>76.790000000000006</v>
      </c>
      <c r="E63">
        <f>ROUND(data[[#This Row],[kills]]/data[[#This Row],[session_duration_min]],2)</f>
        <v>1.62</v>
      </c>
      <c r="F63">
        <v>2.4300000000000002</v>
      </c>
      <c r="G63">
        <v>-1</v>
      </c>
      <c r="H63">
        <v>-1</v>
      </c>
      <c r="I63">
        <v>-1</v>
      </c>
      <c r="J63">
        <v>76.790000000000006</v>
      </c>
      <c r="K63">
        <v>-1</v>
      </c>
      <c r="L63">
        <v>-1</v>
      </c>
      <c r="M63">
        <v>-1</v>
      </c>
      <c r="N63">
        <v>1.62</v>
      </c>
      <c r="O63">
        <v>-1</v>
      </c>
      <c r="P63">
        <v>-1</v>
      </c>
      <c r="Q63">
        <v>-1</v>
      </c>
    </row>
    <row r="64" spans="1:17" x14ac:dyDescent="0.25">
      <c r="A64" t="str" cm="1">
        <f t="array" ref="A64">_xlfn.SWITCH(TRUE, AND(data[[#This Row],[hour]]&gt;=6, data[[#This Row],[hour]]&lt;=11), "Morning", AND(data[[#This Row],[hour]]&gt;=12, data[[#This Row],[hour]]&lt;=17), "Afternoon", AND(data[[#This Row],[hour]]&gt;=18, data[[#This Row],[hour]]&lt;=23), "Evening", TRUE, "Night")</f>
        <v>Afternoon</v>
      </c>
      <c r="B64">
        <v>2.2000000000000002</v>
      </c>
      <c r="C64">
        <f>IFERROR( ROUND(data[[#This Row],[kills]]/data[[#This Row],[deaths]],2), 0)</f>
        <v>0</v>
      </c>
      <c r="D64">
        <f>IFERROR( ROUND(data[[#This Row],[headshots]]/data[[#This Row],[kills]]*100,2),0)</f>
        <v>0</v>
      </c>
      <c r="E64">
        <f>ROUND(data[[#This Row],[kills]]/data[[#This Row],[session_duration_min]],2)</f>
        <v>0</v>
      </c>
      <c r="F64">
        <v>-1</v>
      </c>
      <c r="G64">
        <v>-1</v>
      </c>
      <c r="H64">
        <v>-1</v>
      </c>
      <c r="I64">
        <v>0</v>
      </c>
      <c r="J64">
        <v>-1</v>
      </c>
      <c r="K64">
        <v>-1</v>
      </c>
      <c r="L64">
        <v>-1</v>
      </c>
      <c r="M64">
        <v>0</v>
      </c>
      <c r="N64">
        <v>-1</v>
      </c>
      <c r="O64">
        <v>-1</v>
      </c>
      <c r="P64">
        <v>-1</v>
      </c>
      <c r="Q64">
        <v>0</v>
      </c>
    </row>
    <row r="65" spans="1:17" x14ac:dyDescent="0.25">
      <c r="A65" t="str" cm="1">
        <f t="array" ref="A65">_xlfn.SWITCH(TRUE, AND(data[[#This Row],[hour]]&gt;=6, data[[#This Row],[hour]]&lt;=11), "Morning", AND(data[[#This Row],[hour]]&gt;=12, data[[#This Row],[hour]]&lt;=17), "Afternoon", AND(data[[#This Row],[hour]]&gt;=18, data[[#This Row],[hour]]&lt;=23), "Evening", TRUE, "Night")</f>
        <v>Evening</v>
      </c>
      <c r="B65">
        <v>1.8166666666666667</v>
      </c>
      <c r="C65">
        <f>IFERROR( ROUND(data[[#This Row],[kills]]/data[[#This Row],[deaths]],2), 0)</f>
        <v>0</v>
      </c>
      <c r="D65">
        <f>IFERROR( ROUND(data[[#This Row],[headshots]]/data[[#This Row],[kills]]*100,2),0)</f>
        <v>0</v>
      </c>
      <c r="E65">
        <f>ROUND(data[[#This Row],[kills]]/data[[#This Row],[session_duration_min]],2)</f>
        <v>0</v>
      </c>
      <c r="F65">
        <v>0</v>
      </c>
      <c r="G65">
        <v>-1</v>
      </c>
      <c r="H65">
        <v>-1</v>
      </c>
      <c r="I65">
        <v>-1</v>
      </c>
      <c r="J65">
        <v>0</v>
      </c>
      <c r="K65">
        <v>-1</v>
      </c>
      <c r="L65">
        <v>-1</v>
      </c>
      <c r="M65">
        <v>-1</v>
      </c>
      <c r="N65">
        <v>0</v>
      </c>
      <c r="O65">
        <v>-1</v>
      </c>
      <c r="P65">
        <v>-1</v>
      </c>
      <c r="Q65">
        <v>-1</v>
      </c>
    </row>
    <row r="66" spans="1:17" x14ac:dyDescent="0.25">
      <c r="A66" t="str" cm="1">
        <f t="array" ref="A66">_xlfn.SWITCH(TRUE, AND(data[[#This Row],[hour]]&gt;=6, data[[#This Row],[hour]]&lt;=11), "Morning", AND(data[[#This Row],[hour]]&gt;=12, data[[#This Row],[hour]]&lt;=17), "Afternoon", AND(data[[#This Row],[hour]]&gt;=18, data[[#This Row],[hour]]&lt;=23), "Evening", TRUE, "Night")</f>
        <v>Evening</v>
      </c>
      <c r="B66">
        <v>31.233333333333334</v>
      </c>
      <c r="C66">
        <f>IFERROR( ROUND(data[[#This Row],[kills]]/data[[#This Row],[deaths]],2), 0)</f>
        <v>1.71</v>
      </c>
      <c r="D66">
        <f>IFERROR( ROUND(data[[#This Row],[headshots]]/data[[#This Row],[kills]]*100,2),0)</f>
        <v>80.56</v>
      </c>
      <c r="E66">
        <f>ROUND(data[[#This Row],[kills]]/data[[#This Row],[session_duration_min]],2)</f>
        <v>1.1499999999999999</v>
      </c>
      <c r="F66">
        <v>1.71</v>
      </c>
      <c r="G66">
        <v>-1</v>
      </c>
      <c r="H66">
        <v>-1</v>
      </c>
      <c r="I66">
        <v>-1</v>
      </c>
      <c r="J66">
        <v>80.56</v>
      </c>
      <c r="K66">
        <v>-1</v>
      </c>
      <c r="L66">
        <v>-1</v>
      </c>
      <c r="M66">
        <v>-1</v>
      </c>
      <c r="N66">
        <v>1.1499999999999999</v>
      </c>
      <c r="O66">
        <v>-1</v>
      </c>
      <c r="P66">
        <v>-1</v>
      </c>
      <c r="Q66">
        <v>-1</v>
      </c>
    </row>
    <row r="67" spans="1:17" x14ac:dyDescent="0.25">
      <c r="A67" t="str" cm="1">
        <f t="array" ref="A67">_xlfn.SWITCH(TRUE, AND(data[[#This Row],[hour]]&gt;=6, data[[#This Row],[hour]]&lt;=11), "Morning", AND(data[[#This Row],[hour]]&gt;=12, data[[#This Row],[hour]]&lt;=17), "Afternoon", AND(data[[#This Row],[hour]]&gt;=18, data[[#This Row],[hour]]&lt;=23), "Evening", TRUE, "Night")</f>
        <v>Evening</v>
      </c>
      <c r="B67">
        <v>26.283333333333331</v>
      </c>
      <c r="C67">
        <f>IFERROR( ROUND(data[[#This Row],[kills]]/data[[#This Row],[deaths]],2), 0)</f>
        <v>0.73</v>
      </c>
      <c r="D67">
        <f>IFERROR( ROUND(data[[#This Row],[headshots]]/data[[#This Row],[kills]]*100,2),0)</f>
        <v>95.45</v>
      </c>
      <c r="E67">
        <f>ROUND(data[[#This Row],[kills]]/data[[#This Row],[session_duration_min]],2)</f>
        <v>0.84</v>
      </c>
      <c r="F67">
        <v>0.73</v>
      </c>
      <c r="G67">
        <v>-1</v>
      </c>
      <c r="H67">
        <v>-1</v>
      </c>
      <c r="I67">
        <v>-1</v>
      </c>
      <c r="J67">
        <v>95.45</v>
      </c>
      <c r="K67">
        <v>-1</v>
      </c>
      <c r="L67">
        <v>-1</v>
      </c>
      <c r="M67">
        <v>-1</v>
      </c>
      <c r="N67">
        <v>0.84</v>
      </c>
      <c r="O67">
        <v>-1</v>
      </c>
      <c r="P67">
        <v>-1</v>
      </c>
      <c r="Q67">
        <v>-1</v>
      </c>
    </row>
    <row r="68" spans="1:17" x14ac:dyDescent="0.25">
      <c r="A68" t="str" cm="1">
        <f t="array" ref="A68">_xlfn.SWITCH(TRUE, AND(data[[#This Row],[hour]]&gt;=6, data[[#This Row],[hour]]&lt;=11), "Morning", AND(data[[#This Row],[hour]]&gt;=12, data[[#This Row],[hour]]&lt;=17), "Afternoon", AND(data[[#This Row],[hour]]&gt;=18, data[[#This Row],[hour]]&lt;=23), "Evening", TRUE, "Night")</f>
        <v>Evening</v>
      </c>
      <c r="B68">
        <v>9.4666666666666668</v>
      </c>
      <c r="C68">
        <f>IFERROR( ROUND(data[[#This Row],[kills]]/data[[#This Row],[deaths]],2), 0)</f>
        <v>1</v>
      </c>
      <c r="D68">
        <f>IFERROR( ROUND(data[[#This Row],[headshots]]/data[[#This Row],[kills]]*100,2),0)</f>
        <v>100</v>
      </c>
      <c r="E68">
        <f>ROUND(data[[#This Row],[kills]]/data[[#This Row],[session_duration_min]],2)</f>
        <v>0.53</v>
      </c>
      <c r="F68">
        <v>1</v>
      </c>
      <c r="G68">
        <v>-1</v>
      </c>
      <c r="H68">
        <v>-1</v>
      </c>
      <c r="I68">
        <v>-1</v>
      </c>
      <c r="J68">
        <v>100</v>
      </c>
      <c r="K68">
        <v>-1</v>
      </c>
      <c r="L68">
        <v>-1</v>
      </c>
      <c r="M68">
        <v>-1</v>
      </c>
      <c r="N68">
        <v>0.53</v>
      </c>
      <c r="O68">
        <v>-1</v>
      </c>
      <c r="P68">
        <v>-1</v>
      </c>
      <c r="Q68">
        <v>-1</v>
      </c>
    </row>
    <row r="69" spans="1:17" x14ac:dyDescent="0.25">
      <c r="A69" t="str" cm="1">
        <f t="array" ref="A69">_xlfn.SWITCH(TRUE, AND(data[[#This Row],[hour]]&gt;=6, data[[#This Row],[hour]]&lt;=11), "Morning", AND(data[[#This Row],[hour]]&gt;=12, data[[#This Row],[hour]]&lt;=17), "Afternoon", AND(data[[#This Row],[hour]]&gt;=18, data[[#This Row],[hour]]&lt;=23), "Evening", TRUE, "Night")</f>
        <v>Evening</v>
      </c>
      <c r="B69">
        <v>17.633333333333333</v>
      </c>
      <c r="C69">
        <f>IFERROR( ROUND(data[[#This Row],[kills]]/data[[#This Row],[deaths]],2), 0)</f>
        <v>1.07</v>
      </c>
      <c r="D69">
        <f>IFERROR( ROUND(data[[#This Row],[headshots]]/data[[#This Row],[kills]]*100,2),0)</f>
        <v>73.33</v>
      </c>
      <c r="E69">
        <f>ROUND(data[[#This Row],[kills]]/data[[#This Row],[session_duration_min]],2)</f>
        <v>0.85</v>
      </c>
      <c r="F69">
        <v>1.07</v>
      </c>
      <c r="G69">
        <v>-1</v>
      </c>
      <c r="H69">
        <v>-1</v>
      </c>
      <c r="I69">
        <v>-1</v>
      </c>
      <c r="J69">
        <v>73.33</v>
      </c>
      <c r="K69">
        <v>-1</v>
      </c>
      <c r="L69">
        <v>-1</v>
      </c>
      <c r="M69">
        <v>-1</v>
      </c>
      <c r="N69">
        <v>0.85</v>
      </c>
      <c r="O69">
        <v>-1</v>
      </c>
      <c r="P69">
        <v>-1</v>
      </c>
      <c r="Q69">
        <v>-1</v>
      </c>
    </row>
    <row r="70" spans="1:17" x14ac:dyDescent="0.25">
      <c r="A70" t="str" cm="1">
        <f t="array" ref="A70">_xlfn.SWITCH(TRUE, AND(data[[#This Row],[hour]]&gt;=6, data[[#This Row],[hour]]&lt;=11), "Morning", AND(data[[#This Row],[hour]]&gt;=12, data[[#This Row],[hour]]&lt;=17), "Afternoon", AND(data[[#This Row],[hour]]&gt;=18, data[[#This Row],[hour]]&lt;=23), "Evening", TRUE, "Night")</f>
        <v>Evening</v>
      </c>
      <c r="B70">
        <v>9.8666666666666671</v>
      </c>
      <c r="C70">
        <f>IFERROR( ROUND(data[[#This Row],[kills]]/data[[#This Row],[deaths]],2), 0)</f>
        <v>1.08</v>
      </c>
      <c r="D70">
        <f>IFERROR( ROUND(data[[#This Row],[headshots]]/data[[#This Row],[kills]]*100,2),0)</f>
        <v>76.92</v>
      </c>
      <c r="E70">
        <f>ROUND(data[[#This Row],[kills]]/data[[#This Row],[session_duration_min]],2)</f>
        <v>1.32</v>
      </c>
      <c r="F70">
        <v>1.08</v>
      </c>
      <c r="G70">
        <v>-1</v>
      </c>
      <c r="H70">
        <v>-1</v>
      </c>
      <c r="I70">
        <v>-1</v>
      </c>
      <c r="J70">
        <v>76.92</v>
      </c>
      <c r="K70">
        <v>-1</v>
      </c>
      <c r="L70">
        <v>-1</v>
      </c>
      <c r="M70">
        <v>-1</v>
      </c>
      <c r="N70">
        <v>1.32</v>
      </c>
      <c r="O70">
        <v>-1</v>
      </c>
      <c r="P70">
        <v>-1</v>
      </c>
      <c r="Q70">
        <v>-1</v>
      </c>
    </row>
    <row r="71" spans="1:17" x14ac:dyDescent="0.25">
      <c r="A71" t="str" cm="1">
        <f t="array" ref="A71">_xlfn.SWITCH(TRUE, AND(data[[#This Row],[hour]]&gt;=6, data[[#This Row],[hour]]&lt;=11), "Morning", AND(data[[#This Row],[hour]]&gt;=12, data[[#This Row],[hour]]&lt;=17), "Afternoon", AND(data[[#This Row],[hour]]&gt;=18, data[[#This Row],[hour]]&lt;=23), "Evening", TRUE, "Night")</f>
        <v>Evening</v>
      </c>
      <c r="B71">
        <v>18.733333333333334</v>
      </c>
      <c r="C71">
        <f>IFERROR( ROUND(data[[#This Row],[kills]]/data[[#This Row],[deaths]],2), 0)</f>
        <v>2.27</v>
      </c>
      <c r="D71">
        <f>IFERROR( ROUND(data[[#This Row],[headshots]]/data[[#This Row],[kills]]*100,2),0)</f>
        <v>80</v>
      </c>
      <c r="E71">
        <f>ROUND(data[[#This Row],[kills]]/data[[#This Row],[session_duration_min]],2)</f>
        <v>1.33</v>
      </c>
      <c r="F71">
        <v>2.27</v>
      </c>
      <c r="G71">
        <v>-1</v>
      </c>
      <c r="H71">
        <v>-1</v>
      </c>
      <c r="I71">
        <v>-1</v>
      </c>
      <c r="J71">
        <v>80</v>
      </c>
      <c r="K71">
        <v>-1</v>
      </c>
      <c r="L71">
        <v>-1</v>
      </c>
      <c r="M71">
        <v>-1</v>
      </c>
      <c r="N71">
        <v>1.33</v>
      </c>
      <c r="O71">
        <v>-1</v>
      </c>
      <c r="P71">
        <v>-1</v>
      </c>
      <c r="Q71">
        <v>-1</v>
      </c>
    </row>
    <row r="72" spans="1:17" x14ac:dyDescent="0.25">
      <c r="A72" t="str" cm="1">
        <f t="array" ref="A72">_xlfn.SWITCH(TRUE, AND(data[[#This Row],[hour]]&gt;=6, data[[#This Row],[hour]]&lt;=11), "Morning", AND(data[[#This Row],[hour]]&gt;=12, data[[#This Row],[hour]]&lt;=17), "Afternoon", AND(data[[#This Row],[hour]]&gt;=18, data[[#This Row],[hour]]&lt;=23), "Evening", TRUE, "Night")</f>
        <v>Evening</v>
      </c>
      <c r="B72">
        <v>8.9499999999999993</v>
      </c>
      <c r="C72">
        <f>IFERROR( ROUND(data[[#This Row],[kills]]/data[[#This Row],[deaths]],2), 0)</f>
        <v>1.8</v>
      </c>
      <c r="D72">
        <f>IFERROR( ROUND(data[[#This Row],[headshots]]/data[[#This Row],[kills]]*100,2),0)</f>
        <v>44.44</v>
      </c>
      <c r="E72">
        <f>ROUND(data[[#This Row],[kills]]/data[[#This Row],[session_duration_min]],2)</f>
        <v>1.01</v>
      </c>
      <c r="F72">
        <v>1.8</v>
      </c>
      <c r="G72">
        <v>-1</v>
      </c>
      <c r="H72">
        <v>-1</v>
      </c>
      <c r="I72">
        <v>-1</v>
      </c>
      <c r="J72">
        <v>44.44</v>
      </c>
      <c r="K72">
        <v>-1</v>
      </c>
      <c r="L72">
        <v>-1</v>
      </c>
      <c r="M72">
        <v>-1</v>
      </c>
      <c r="N72">
        <v>1.01</v>
      </c>
      <c r="O72">
        <v>-1</v>
      </c>
      <c r="P72">
        <v>-1</v>
      </c>
      <c r="Q72">
        <v>-1</v>
      </c>
    </row>
    <row r="73" spans="1:17" x14ac:dyDescent="0.25">
      <c r="A73" t="str" cm="1">
        <f t="array" ref="A73">_xlfn.SWITCH(TRUE, AND(data[[#This Row],[hour]]&gt;=6, data[[#This Row],[hour]]&lt;=11), "Morning", AND(data[[#This Row],[hour]]&gt;=12, data[[#This Row],[hour]]&lt;=17), "Afternoon", AND(data[[#This Row],[hour]]&gt;=18, data[[#This Row],[hour]]&lt;=23), "Evening", TRUE, "Night")</f>
        <v>Night</v>
      </c>
      <c r="B73">
        <v>17.566666666666666</v>
      </c>
      <c r="C73">
        <f>IFERROR( ROUND(data[[#This Row],[kills]]/data[[#This Row],[deaths]],2), 0)</f>
        <v>1.47</v>
      </c>
      <c r="D73">
        <f>IFERROR( ROUND(data[[#This Row],[headshots]]/data[[#This Row],[kills]]*100,2),0)</f>
        <v>72.73</v>
      </c>
      <c r="E73">
        <f>ROUND(data[[#This Row],[kills]]/data[[#This Row],[session_duration_min]],2)</f>
        <v>1.25</v>
      </c>
      <c r="F73">
        <v>-1</v>
      </c>
      <c r="G73">
        <v>1.47</v>
      </c>
      <c r="H73">
        <v>-1</v>
      </c>
      <c r="I73">
        <v>-1</v>
      </c>
      <c r="J73">
        <v>-1</v>
      </c>
      <c r="K73">
        <v>72.73</v>
      </c>
      <c r="L73">
        <v>-1</v>
      </c>
      <c r="M73">
        <v>-1</v>
      </c>
      <c r="N73">
        <v>-1</v>
      </c>
      <c r="O73">
        <v>1.25</v>
      </c>
      <c r="P73">
        <v>-1</v>
      </c>
      <c r="Q73">
        <v>-1</v>
      </c>
    </row>
    <row r="74" spans="1:17" x14ac:dyDescent="0.25">
      <c r="A74" t="str" cm="1">
        <f t="array" ref="A74">_xlfn.SWITCH(TRUE, AND(data[[#This Row],[hour]]&gt;=6, data[[#This Row],[hour]]&lt;=11), "Morning", AND(data[[#This Row],[hour]]&gt;=12, data[[#This Row],[hour]]&lt;=17), "Afternoon", AND(data[[#This Row],[hour]]&gt;=18, data[[#This Row],[hour]]&lt;=23), "Evening", TRUE, "Night")</f>
        <v>Evening</v>
      </c>
      <c r="B74">
        <v>17.566666666666666</v>
      </c>
      <c r="C74">
        <f>IFERROR( ROUND(data[[#This Row],[kills]]/data[[#This Row],[deaths]],2), 0)</f>
        <v>1.27</v>
      </c>
      <c r="D74">
        <f>IFERROR( ROUND(data[[#This Row],[headshots]]/data[[#This Row],[kills]]*100,2),0)</f>
        <v>92.86</v>
      </c>
      <c r="E74">
        <f>ROUND(data[[#This Row],[kills]]/data[[#This Row],[session_duration_min]],2)</f>
        <v>0.8</v>
      </c>
      <c r="F74">
        <v>1.27</v>
      </c>
      <c r="G74">
        <v>-1</v>
      </c>
      <c r="H74">
        <v>-1</v>
      </c>
      <c r="I74">
        <v>-1</v>
      </c>
      <c r="J74">
        <v>92.86</v>
      </c>
      <c r="K74">
        <v>-1</v>
      </c>
      <c r="L74">
        <v>-1</v>
      </c>
      <c r="M74">
        <v>-1</v>
      </c>
      <c r="N74">
        <v>0.8</v>
      </c>
      <c r="O74">
        <v>-1</v>
      </c>
      <c r="P74">
        <v>-1</v>
      </c>
      <c r="Q74">
        <v>-1</v>
      </c>
    </row>
    <row r="75" spans="1:17" x14ac:dyDescent="0.25">
      <c r="A75" t="str" cm="1">
        <f t="array" ref="A75">_xlfn.SWITCH(TRUE, AND(data[[#This Row],[hour]]&gt;=6, data[[#This Row],[hour]]&lt;=11), "Morning", AND(data[[#This Row],[hour]]&gt;=12, data[[#This Row],[hour]]&lt;=17), "Afternoon", AND(data[[#This Row],[hour]]&gt;=18, data[[#This Row],[hour]]&lt;=23), "Evening", TRUE, "Night")</f>
        <v>Evening</v>
      </c>
      <c r="B75">
        <v>10.716666666666667</v>
      </c>
      <c r="C75">
        <f>IFERROR( ROUND(data[[#This Row],[kills]]/data[[#This Row],[deaths]],2), 0)</f>
        <v>2.57</v>
      </c>
      <c r="D75">
        <f>IFERROR( ROUND(data[[#This Row],[headshots]]/data[[#This Row],[kills]]*100,2),0)</f>
        <v>100</v>
      </c>
      <c r="E75">
        <f>ROUND(data[[#This Row],[kills]]/data[[#This Row],[session_duration_min]],2)</f>
        <v>1.68</v>
      </c>
      <c r="F75">
        <v>2.57</v>
      </c>
      <c r="G75">
        <v>-1</v>
      </c>
      <c r="H75">
        <v>-1</v>
      </c>
      <c r="I75">
        <v>-1</v>
      </c>
      <c r="J75">
        <v>100</v>
      </c>
      <c r="K75">
        <v>-1</v>
      </c>
      <c r="L75">
        <v>-1</v>
      </c>
      <c r="M75">
        <v>-1</v>
      </c>
      <c r="N75">
        <v>1.68</v>
      </c>
      <c r="O75">
        <v>-1</v>
      </c>
      <c r="P75">
        <v>-1</v>
      </c>
      <c r="Q75">
        <v>-1</v>
      </c>
    </row>
    <row r="76" spans="1:17" x14ac:dyDescent="0.25">
      <c r="A76" t="str" cm="1">
        <f t="array" ref="A76">_xlfn.SWITCH(TRUE, AND(data[[#This Row],[hour]]&gt;=6, data[[#This Row],[hour]]&lt;=11), "Morning", AND(data[[#This Row],[hour]]&gt;=12, data[[#This Row],[hour]]&lt;=17), "Afternoon", AND(data[[#This Row],[hour]]&gt;=18, data[[#This Row],[hour]]&lt;=23), "Evening", TRUE, "Night")</f>
        <v>Evening</v>
      </c>
      <c r="B76">
        <v>2.9</v>
      </c>
      <c r="C76">
        <f>IFERROR( ROUND(data[[#This Row],[kills]]/data[[#This Row],[deaths]],2), 0)</f>
        <v>0.67</v>
      </c>
      <c r="D76">
        <f>IFERROR( ROUND(data[[#This Row],[headshots]]/data[[#This Row],[kills]]*100,2),0)</f>
        <v>100</v>
      </c>
      <c r="E76">
        <f>ROUND(data[[#This Row],[kills]]/data[[#This Row],[session_duration_min]],2)</f>
        <v>0.69</v>
      </c>
      <c r="F76">
        <v>0.67</v>
      </c>
      <c r="G76">
        <v>-1</v>
      </c>
      <c r="H76">
        <v>-1</v>
      </c>
      <c r="I76">
        <v>-1</v>
      </c>
      <c r="J76">
        <v>100</v>
      </c>
      <c r="K76">
        <v>-1</v>
      </c>
      <c r="L76">
        <v>-1</v>
      </c>
      <c r="M76">
        <v>-1</v>
      </c>
      <c r="N76">
        <v>0.69</v>
      </c>
      <c r="O76">
        <v>-1</v>
      </c>
      <c r="P76">
        <v>-1</v>
      </c>
      <c r="Q76">
        <v>-1</v>
      </c>
    </row>
    <row r="77" spans="1:17" x14ac:dyDescent="0.25">
      <c r="A77" t="str" cm="1">
        <f t="array" ref="A77">_xlfn.SWITCH(TRUE, AND(data[[#This Row],[hour]]&gt;=6, data[[#This Row],[hour]]&lt;=11), "Morning", AND(data[[#This Row],[hour]]&gt;=12, data[[#This Row],[hour]]&lt;=17), "Afternoon", AND(data[[#This Row],[hour]]&gt;=18, data[[#This Row],[hour]]&lt;=23), "Evening", TRUE, "Night")</f>
        <v>Afternoon</v>
      </c>
      <c r="B77">
        <v>4.4000000000000004</v>
      </c>
      <c r="C77">
        <f>IFERROR( ROUND(data[[#This Row],[kills]]/data[[#This Row],[deaths]],2), 0)</f>
        <v>1.67</v>
      </c>
      <c r="D77">
        <f>IFERROR( ROUND(data[[#This Row],[headshots]]/data[[#This Row],[kills]]*100,2),0)</f>
        <v>100</v>
      </c>
      <c r="E77">
        <f>ROUND(data[[#This Row],[kills]]/data[[#This Row],[session_duration_min]],2)</f>
        <v>1.1399999999999999</v>
      </c>
      <c r="F77">
        <v>-1</v>
      </c>
      <c r="G77">
        <v>-1</v>
      </c>
      <c r="H77">
        <v>-1</v>
      </c>
      <c r="I77">
        <v>1.67</v>
      </c>
      <c r="J77">
        <v>-1</v>
      </c>
      <c r="K77">
        <v>-1</v>
      </c>
      <c r="L77">
        <v>-1</v>
      </c>
      <c r="M77">
        <v>100</v>
      </c>
      <c r="N77">
        <v>-1</v>
      </c>
      <c r="O77">
        <v>-1</v>
      </c>
      <c r="P77">
        <v>-1</v>
      </c>
      <c r="Q77">
        <v>1.1399999999999999</v>
      </c>
    </row>
    <row r="78" spans="1:17" x14ac:dyDescent="0.25">
      <c r="A78" t="str" cm="1">
        <f t="array" ref="A78">_xlfn.SWITCH(TRUE, AND(data[[#This Row],[hour]]&gt;=6, data[[#This Row],[hour]]&lt;=11), "Morning", AND(data[[#This Row],[hour]]&gt;=12, data[[#This Row],[hour]]&lt;=17), "Afternoon", AND(data[[#This Row],[hour]]&gt;=18, data[[#This Row],[hour]]&lt;=23), "Evening", TRUE, "Night")</f>
        <v>Evening</v>
      </c>
      <c r="B78">
        <v>6.5666666666666664</v>
      </c>
      <c r="C78">
        <f>IFERROR( ROUND(data[[#This Row],[kills]]/data[[#This Row],[deaths]],2), 0)</f>
        <v>0.83</v>
      </c>
      <c r="D78">
        <f>IFERROR( ROUND(data[[#This Row],[headshots]]/data[[#This Row],[kills]]*100,2),0)</f>
        <v>40</v>
      </c>
      <c r="E78">
        <f>ROUND(data[[#This Row],[kills]]/data[[#This Row],[session_duration_min]],2)</f>
        <v>0.76</v>
      </c>
      <c r="F78">
        <v>0.83</v>
      </c>
      <c r="G78">
        <v>-1</v>
      </c>
      <c r="H78">
        <v>-1</v>
      </c>
      <c r="I78">
        <v>-1</v>
      </c>
      <c r="J78">
        <v>40</v>
      </c>
      <c r="K78">
        <v>-1</v>
      </c>
      <c r="L78">
        <v>-1</v>
      </c>
      <c r="M78">
        <v>-1</v>
      </c>
      <c r="N78">
        <v>0.76</v>
      </c>
      <c r="O78">
        <v>-1</v>
      </c>
      <c r="P78">
        <v>-1</v>
      </c>
      <c r="Q78">
        <v>-1</v>
      </c>
    </row>
    <row r="79" spans="1:17" x14ac:dyDescent="0.25">
      <c r="A79" t="str" cm="1">
        <f t="array" ref="A79">_xlfn.SWITCH(TRUE, AND(data[[#This Row],[hour]]&gt;=6, data[[#This Row],[hour]]&lt;=11), "Morning", AND(data[[#This Row],[hour]]&gt;=12, data[[#This Row],[hour]]&lt;=17), "Afternoon", AND(data[[#This Row],[hour]]&gt;=18, data[[#This Row],[hour]]&lt;=23), "Evening", TRUE, "Night")</f>
        <v>Evening</v>
      </c>
      <c r="B79">
        <v>18.083333333333332</v>
      </c>
      <c r="C79">
        <f>IFERROR( ROUND(data[[#This Row],[kills]]/data[[#This Row],[deaths]],2), 0)</f>
        <v>0.63</v>
      </c>
      <c r="D79">
        <f>IFERROR( ROUND(data[[#This Row],[headshots]]/data[[#This Row],[kills]]*100,2),0)</f>
        <v>91.67</v>
      </c>
      <c r="E79">
        <f>ROUND(data[[#This Row],[kills]]/data[[#This Row],[session_duration_min]],2)</f>
        <v>0.66</v>
      </c>
      <c r="F79">
        <v>0.63</v>
      </c>
      <c r="G79">
        <v>-1</v>
      </c>
      <c r="H79">
        <v>-1</v>
      </c>
      <c r="I79">
        <v>-1</v>
      </c>
      <c r="J79">
        <v>91.67</v>
      </c>
      <c r="K79">
        <v>-1</v>
      </c>
      <c r="L79">
        <v>-1</v>
      </c>
      <c r="M79">
        <v>-1</v>
      </c>
      <c r="N79">
        <v>0.66</v>
      </c>
      <c r="O79">
        <v>-1</v>
      </c>
      <c r="P79">
        <v>-1</v>
      </c>
      <c r="Q79">
        <v>-1</v>
      </c>
    </row>
    <row r="80" spans="1:17" x14ac:dyDescent="0.25">
      <c r="A80" t="str" cm="1">
        <f t="array" ref="A80">_xlfn.SWITCH(TRUE, AND(data[[#This Row],[hour]]&gt;=6, data[[#This Row],[hour]]&lt;=11), "Morning", AND(data[[#This Row],[hour]]&gt;=12, data[[#This Row],[hour]]&lt;=17), "Afternoon", AND(data[[#This Row],[hour]]&gt;=18, data[[#This Row],[hour]]&lt;=23), "Evening", TRUE, "Night")</f>
        <v>Evening</v>
      </c>
      <c r="B80">
        <v>2</v>
      </c>
      <c r="C80">
        <f>IFERROR( ROUND(data[[#This Row],[kills]]/data[[#This Row],[deaths]],2), 0)</f>
        <v>0</v>
      </c>
      <c r="D80">
        <f>IFERROR( ROUND(data[[#This Row],[headshots]]/data[[#This Row],[kills]]*100,2),0)</f>
        <v>0</v>
      </c>
      <c r="E80">
        <f>ROUND(data[[#This Row],[kills]]/data[[#This Row],[session_duration_min]],2)</f>
        <v>0</v>
      </c>
      <c r="F80">
        <v>0</v>
      </c>
      <c r="G80">
        <v>-1</v>
      </c>
      <c r="H80">
        <v>-1</v>
      </c>
      <c r="I80">
        <v>-1</v>
      </c>
      <c r="J80">
        <v>0</v>
      </c>
      <c r="K80">
        <v>-1</v>
      </c>
      <c r="L80">
        <v>-1</v>
      </c>
      <c r="M80">
        <v>-1</v>
      </c>
      <c r="N80">
        <v>0</v>
      </c>
      <c r="O80">
        <v>-1</v>
      </c>
      <c r="P80">
        <v>-1</v>
      </c>
      <c r="Q80">
        <v>-1</v>
      </c>
    </row>
    <row r="81" spans="1:17" x14ac:dyDescent="0.25">
      <c r="A81" t="str" cm="1">
        <f t="array" ref="A81">_xlfn.SWITCH(TRUE, AND(data[[#This Row],[hour]]&gt;=6, data[[#This Row],[hour]]&lt;=11), "Morning", AND(data[[#This Row],[hour]]&gt;=12, data[[#This Row],[hour]]&lt;=17), "Afternoon", AND(data[[#This Row],[hour]]&gt;=18, data[[#This Row],[hour]]&lt;=23), "Evening", TRUE, "Night")</f>
        <v>Evening</v>
      </c>
      <c r="B81">
        <v>14.283333333333333</v>
      </c>
      <c r="C81">
        <f>IFERROR( ROUND(data[[#This Row],[kills]]/data[[#This Row],[deaths]],2), 0)</f>
        <v>0.93</v>
      </c>
      <c r="D81">
        <f>IFERROR( ROUND(data[[#This Row],[headshots]]/data[[#This Row],[kills]]*100,2),0)</f>
        <v>84.62</v>
      </c>
      <c r="E81">
        <f>ROUND(data[[#This Row],[kills]]/data[[#This Row],[session_duration_min]],2)</f>
        <v>0.91</v>
      </c>
      <c r="F81">
        <v>0.93</v>
      </c>
      <c r="G81">
        <v>-1</v>
      </c>
      <c r="H81">
        <v>-1</v>
      </c>
      <c r="I81">
        <v>-1</v>
      </c>
      <c r="J81">
        <v>84.62</v>
      </c>
      <c r="K81">
        <v>-1</v>
      </c>
      <c r="L81">
        <v>-1</v>
      </c>
      <c r="M81">
        <v>-1</v>
      </c>
      <c r="N81">
        <v>0.91</v>
      </c>
      <c r="O81">
        <v>-1</v>
      </c>
      <c r="P81">
        <v>-1</v>
      </c>
      <c r="Q81">
        <v>-1</v>
      </c>
    </row>
    <row r="82" spans="1:17" x14ac:dyDescent="0.25">
      <c r="A82" t="str" cm="1">
        <f t="array" ref="A82">_xlfn.SWITCH(TRUE, AND(data[[#This Row],[hour]]&gt;=6, data[[#This Row],[hour]]&lt;=11), "Morning", AND(data[[#This Row],[hour]]&gt;=12, data[[#This Row],[hour]]&lt;=17), "Afternoon", AND(data[[#This Row],[hour]]&gt;=18, data[[#This Row],[hour]]&lt;=23), "Evening", TRUE, "Night")</f>
        <v>Evening</v>
      </c>
      <c r="B82">
        <v>11.333333333333334</v>
      </c>
      <c r="C82">
        <f>IFERROR( ROUND(data[[#This Row],[kills]]/data[[#This Row],[deaths]],2), 0)</f>
        <v>1.75</v>
      </c>
      <c r="D82">
        <f>IFERROR( ROUND(data[[#This Row],[headshots]]/data[[#This Row],[kills]]*100,2),0)</f>
        <v>71.430000000000007</v>
      </c>
      <c r="E82">
        <f>ROUND(data[[#This Row],[kills]]/data[[#This Row],[session_duration_min]],2)</f>
        <v>1.24</v>
      </c>
      <c r="F82">
        <v>1.75</v>
      </c>
      <c r="G82">
        <v>-1</v>
      </c>
      <c r="H82">
        <v>-1</v>
      </c>
      <c r="I82">
        <v>-1</v>
      </c>
      <c r="J82">
        <v>71.430000000000007</v>
      </c>
      <c r="K82">
        <v>-1</v>
      </c>
      <c r="L82">
        <v>-1</v>
      </c>
      <c r="M82">
        <v>-1</v>
      </c>
      <c r="N82">
        <v>1.24</v>
      </c>
      <c r="O82">
        <v>-1</v>
      </c>
      <c r="P82">
        <v>-1</v>
      </c>
      <c r="Q82">
        <v>-1</v>
      </c>
    </row>
    <row r="83" spans="1:17" x14ac:dyDescent="0.25">
      <c r="A83" t="str" cm="1">
        <f t="array" ref="A83">_xlfn.SWITCH(TRUE, AND(data[[#This Row],[hour]]&gt;=6, data[[#This Row],[hour]]&lt;=11), "Morning", AND(data[[#This Row],[hour]]&gt;=12, data[[#This Row],[hour]]&lt;=17), "Afternoon", AND(data[[#This Row],[hour]]&gt;=18, data[[#This Row],[hour]]&lt;=23), "Evening", TRUE, "Night")</f>
        <v>Afternoon</v>
      </c>
      <c r="B83">
        <v>69.766666666666666</v>
      </c>
      <c r="C83">
        <f>IFERROR( ROUND(data[[#This Row],[kills]]/data[[#This Row],[deaths]],2), 0)</f>
        <v>1.55</v>
      </c>
      <c r="D83">
        <f>IFERROR( ROUND(data[[#This Row],[headshots]]/data[[#This Row],[kills]]*100,2),0)</f>
        <v>75.61</v>
      </c>
      <c r="E83">
        <f>ROUND(data[[#This Row],[kills]]/data[[#This Row],[session_duration_min]],2)</f>
        <v>1.18</v>
      </c>
      <c r="F83">
        <v>-1</v>
      </c>
      <c r="G83">
        <v>-1</v>
      </c>
      <c r="H83">
        <v>-1</v>
      </c>
      <c r="I83">
        <v>1.55</v>
      </c>
      <c r="J83">
        <v>-1</v>
      </c>
      <c r="K83">
        <v>-1</v>
      </c>
      <c r="L83">
        <v>-1</v>
      </c>
      <c r="M83">
        <v>75.61</v>
      </c>
      <c r="N83">
        <v>-1</v>
      </c>
      <c r="O83">
        <v>-1</v>
      </c>
      <c r="P83">
        <v>-1</v>
      </c>
      <c r="Q83">
        <v>1.18</v>
      </c>
    </row>
    <row r="84" spans="1:17" x14ac:dyDescent="0.25">
      <c r="A84" t="str" cm="1">
        <f t="array" ref="A84">_xlfn.SWITCH(TRUE, AND(data[[#This Row],[hour]]&gt;=6, data[[#This Row],[hour]]&lt;=11), "Morning", AND(data[[#This Row],[hour]]&gt;=12, data[[#This Row],[hour]]&lt;=17), "Afternoon", AND(data[[#This Row],[hour]]&gt;=18, data[[#This Row],[hour]]&lt;=23), "Evening", TRUE, "Night")</f>
        <v>Evening</v>
      </c>
      <c r="B84">
        <v>12.166666666666666</v>
      </c>
      <c r="C84">
        <f>IFERROR( ROUND(data[[#This Row],[kills]]/data[[#This Row],[deaths]],2), 0)</f>
        <v>0.67</v>
      </c>
      <c r="D84">
        <f>IFERROR( ROUND(data[[#This Row],[headshots]]/data[[#This Row],[kills]]*100,2),0)</f>
        <v>75</v>
      </c>
      <c r="E84">
        <f>ROUND(data[[#This Row],[kills]]/data[[#This Row],[session_duration_min]],2)</f>
        <v>0.66</v>
      </c>
      <c r="F84">
        <v>0.67</v>
      </c>
      <c r="G84">
        <v>-1</v>
      </c>
      <c r="H84">
        <v>-1</v>
      </c>
      <c r="I84">
        <v>-1</v>
      </c>
      <c r="J84">
        <v>75</v>
      </c>
      <c r="K84">
        <v>-1</v>
      </c>
      <c r="L84">
        <v>-1</v>
      </c>
      <c r="M84">
        <v>-1</v>
      </c>
      <c r="N84">
        <v>0.66</v>
      </c>
      <c r="O84">
        <v>-1</v>
      </c>
      <c r="P84">
        <v>-1</v>
      </c>
      <c r="Q84">
        <v>-1</v>
      </c>
    </row>
    <row r="85" spans="1:17" x14ac:dyDescent="0.25">
      <c r="A85" t="str" cm="1">
        <f t="array" ref="A85">_xlfn.SWITCH(TRUE, AND(data[[#This Row],[hour]]&gt;=6, data[[#This Row],[hour]]&lt;=11), "Morning", AND(data[[#This Row],[hour]]&gt;=12, data[[#This Row],[hour]]&lt;=17), "Afternoon", AND(data[[#This Row],[hour]]&gt;=18, data[[#This Row],[hour]]&lt;=23), "Evening", TRUE, "Night")</f>
        <v>Evening</v>
      </c>
      <c r="B85">
        <v>1.2</v>
      </c>
      <c r="C85">
        <f>IFERROR( ROUND(data[[#This Row],[kills]]/data[[#This Row],[deaths]],2), 0)</f>
        <v>0.67</v>
      </c>
      <c r="D85">
        <f>IFERROR( ROUND(data[[#This Row],[headshots]]/data[[#This Row],[kills]]*100,2),0)</f>
        <v>0</v>
      </c>
      <c r="E85">
        <f>ROUND(data[[#This Row],[kills]]/data[[#This Row],[session_duration_min]],2)</f>
        <v>1.67</v>
      </c>
      <c r="F85">
        <v>0.67</v>
      </c>
      <c r="G85">
        <v>-1</v>
      </c>
      <c r="H85">
        <v>-1</v>
      </c>
      <c r="I85">
        <v>-1</v>
      </c>
      <c r="J85">
        <v>0</v>
      </c>
      <c r="K85">
        <v>-1</v>
      </c>
      <c r="L85">
        <v>-1</v>
      </c>
      <c r="M85">
        <v>-1</v>
      </c>
      <c r="N85">
        <v>1.67</v>
      </c>
      <c r="O85">
        <v>-1</v>
      </c>
      <c r="P85">
        <v>-1</v>
      </c>
      <c r="Q85">
        <v>-1</v>
      </c>
    </row>
    <row r="86" spans="1:17" x14ac:dyDescent="0.25">
      <c r="A86" t="str" cm="1">
        <f t="array" ref="A86">_xlfn.SWITCH(TRUE, AND(data[[#This Row],[hour]]&gt;=6, data[[#This Row],[hour]]&lt;=11), "Morning", AND(data[[#This Row],[hour]]&gt;=12, data[[#This Row],[hour]]&lt;=17), "Afternoon", AND(data[[#This Row],[hour]]&gt;=18, data[[#This Row],[hour]]&lt;=23), "Evening", TRUE, "Night")</f>
        <v>Evening</v>
      </c>
      <c r="B86">
        <v>1.8166666666666667</v>
      </c>
      <c r="C86">
        <f>IFERROR( ROUND(data[[#This Row],[kills]]/data[[#This Row],[deaths]],2), 0)</f>
        <v>0</v>
      </c>
      <c r="D86">
        <f>IFERROR( ROUND(data[[#This Row],[headshots]]/data[[#This Row],[kills]]*100,2),0)</f>
        <v>0</v>
      </c>
      <c r="E86">
        <f>ROUND(data[[#This Row],[kills]]/data[[#This Row],[session_duration_min]],2)</f>
        <v>0</v>
      </c>
      <c r="F86">
        <v>0</v>
      </c>
      <c r="G86">
        <v>-1</v>
      </c>
      <c r="H86">
        <v>-1</v>
      </c>
      <c r="I86">
        <v>-1</v>
      </c>
      <c r="J86">
        <v>0</v>
      </c>
      <c r="K86">
        <v>-1</v>
      </c>
      <c r="L86">
        <v>-1</v>
      </c>
      <c r="M86">
        <v>-1</v>
      </c>
      <c r="N86">
        <v>0</v>
      </c>
      <c r="O86">
        <v>-1</v>
      </c>
      <c r="P86">
        <v>-1</v>
      </c>
      <c r="Q86">
        <v>-1</v>
      </c>
    </row>
    <row r="87" spans="1:17" x14ac:dyDescent="0.25">
      <c r="A87" t="str" cm="1">
        <f t="array" ref="A87">_xlfn.SWITCH(TRUE, AND(data[[#This Row],[hour]]&gt;=6, data[[#This Row],[hour]]&lt;=11), "Morning", AND(data[[#This Row],[hour]]&gt;=12, data[[#This Row],[hour]]&lt;=17), "Afternoon", AND(data[[#This Row],[hour]]&gt;=18, data[[#This Row],[hour]]&lt;=23), "Evening", TRUE, "Night")</f>
        <v>Evening</v>
      </c>
      <c r="B87">
        <v>67.283333333333331</v>
      </c>
      <c r="C87">
        <f>IFERROR( ROUND(data[[#This Row],[kills]]/data[[#This Row],[deaths]],2), 0)</f>
        <v>1.73</v>
      </c>
      <c r="D87">
        <f>IFERROR( ROUND(data[[#This Row],[headshots]]/data[[#This Row],[kills]]*100,2),0)</f>
        <v>77.78</v>
      </c>
      <c r="E87">
        <f>ROUND(data[[#This Row],[kills]]/data[[#This Row],[session_duration_min]],2)</f>
        <v>1.34</v>
      </c>
      <c r="F87">
        <v>1.73</v>
      </c>
      <c r="G87">
        <v>-1</v>
      </c>
      <c r="H87">
        <v>-1</v>
      </c>
      <c r="I87">
        <v>-1</v>
      </c>
      <c r="J87">
        <v>77.78</v>
      </c>
      <c r="K87">
        <v>-1</v>
      </c>
      <c r="L87">
        <v>-1</v>
      </c>
      <c r="M87">
        <v>-1</v>
      </c>
      <c r="N87">
        <v>1.34</v>
      </c>
      <c r="O87">
        <v>-1</v>
      </c>
      <c r="P87">
        <v>-1</v>
      </c>
      <c r="Q87">
        <v>-1</v>
      </c>
    </row>
    <row r="88" spans="1:17" x14ac:dyDescent="0.25">
      <c r="A88" t="str" cm="1">
        <f t="array" ref="A88">_xlfn.SWITCH(TRUE, AND(data[[#This Row],[hour]]&gt;=6, data[[#This Row],[hour]]&lt;=11), "Morning", AND(data[[#This Row],[hour]]&gt;=12, data[[#This Row],[hour]]&lt;=17), "Afternoon", AND(data[[#This Row],[hour]]&gt;=18, data[[#This Row],[hour]]&lt;=23), "Evening", TRUE, "Night")</f>
        <v>Evening</v>
      </c>
      <c r="B88">
        <v>2.2666666666666666</v>
      </c>
      <c r="C88">
        <f>IFERROR( ROUND(data[[#This Row],[kills]]/data[[#This Row],[deaths]],2), 0)</f>
        <v>0</v>
      </c>
      <c r="D88">
        <f>IFERROR( ROUND(data[[#This Row],[headshots]]/data[[#This Row],[kills]]*100,2),0)</f>
        <v>0</v>
      </c>
      <c r="E88">
        <f>ROUND(data[[#This Row],[kills]]/data[[#This Row],[session_duration_min]],2)</f>
        <v>0</v>
      </c>
      <c r="F88">
        <v>0</v>
      </c>
      <c r="G88">
        <v>-1</v>
      </c>
      <c r="H88">
        <v>-1</v>
      </c>
      <c r="I88">
        <v>-1</v>
      </c>
      <c r="J88">
        <v>0</v>
      </c>
      <c r="K88">
        <v>-1</v>
      </c>
      <c r="L88">
        <v>-1</v>
      </c>
      <c r="M88">
        <v>-1</v>
      </c>
      <c r="N88">
        <v>0</v>
      </c>
      <c r="O88">
        <v>-1</v>
      </c>
      <c r="P88">
        <v>-1</v>
      </c>
      <c r="Q88">
        <v>-1</v>
      </c>
    </row>
    <row r="89" spans="1:17" x14ac:dyDescent="0.25">
      <c r="A89" t="str" cm="1">
        <f t="array" ref="A89">_xlfn.SWITCH(TRUE, AND(data[[#This Row],[hour]]&gt;=6, data[[#This Row],[hour]]&lt;=11), "Morning", AND(data[[#This Row],[hour]]&gt;=12, data[[#This Row],[hour]]&lt;=17), "Afternoon", AND(data[[#This Row],[hour]]&gt;=18, data[[#This Row],[hour]]&lt;=23), "Evening", TRUE, "Night")</f>
        <v>Evening</v>
      </c>
      <c r="B89">
        <v>15.766666666666667</v>
      </c>
      <c r="C89">
        <f>IFERROR( ROUND(data[[#This Row],[kills]]/data[[#This Row],[deaths]],2), 0)</f>
        <v>1.7</v>
      </c>
      <c r="D89">
        <f>IFERROR( ROUND(data[[#This Row],[headshots]]/data[[#This Row],[kills]]*100,2),0)</f>
        <v>70.59</v>
      </c>
      <c r="E89">
        <f>ROUND(data[[#This Row],[kills]]/data[[#This Row],[session_duration_min]],2)</f>
        <v>1.08</v>
      </c>
      <c r="F89">
        <v>1.7</v>
      </c>
      <c r="G89">
        <v>-1</v>
      </c>
      <c r="H89">
        <v>-1</v>
      </c>
      <c r="I89">
        <v>-1</v>
      </c>
      <c r="J89">
        <v>70.59</v>
      </c>
      <c r="K89">
        <v>-1</v>
      </c>
      <c r="L89">
        <v>-1</v>
      </c>
      <c r="M89">
        <v>-1</v>
      </c>
      <c r="N89">
        <v>1.08</v>
      </c>
      <c r="O89">
        <v>-1</v>
      </c>
      <c r="P89">
        <v>-1</v>
      </c>
      <c r="Q89">
        <v>-1</v>
      </c>
    </row>
    <row r="90" spans="1:17" x14ac:dyDescent="0.25">
      <c r="A90" t="str" cm="1">
        <f t="array" ref="A90">_xlfn.SWITCH(TRUE, AND(data[[#This Row],[hour]]&gt;=6, data[[#This Row],[hour]]&lt;=11), "Morning", AND(data[[#This Row],[hour]]&gt;=12, data[[#This Row],[hour]]&lt;=17), "Afternoon", AND(data[[#This Row],[hour]]&gt;=18, data[[#This Row],[hour]]&lt;=23), "Evening", TRUE, "Night")</f>
        <v>Evening</v>
      </c>
      <c r="B90">
        <v>37.133333333333333</v>
      </c>
      <c r="C90">
        <f>IFERROR( ROUND(data[[#This Row],[kills]]/data[[#This Row],[deaths]],2), 0)</f>
        <v>1.54</v>
      </c>
      <c r="D90">
        <f>IFERROR( ROUND(data[[#This Row],[headshots]]/data[[#This Row],[kills]]*100,2),0)</f>
        <v>77.5</v>
      </c>
      <c r="E90">
        <f>ROUND(data[[#This Row],[kills]]/data[[#This Row],[session_duration_min]],2)</f>
        <v>1.08</v>
      </c>
      <c r="F90">
        <v>1.54</v>
      </c>
      <c r="G90">
        <v>-1</v>
      </c>
      <c r="H90">
        <v>-1</v>
      </c>
      <c r="I90">
        <v>-1</v>
      </c>
      <c r="J90">
        <v>77.5</v>
      </c>
      <c r="K90">
        <v>-1</v>
      </c>
      <c r="L90">
        <v>-1</v>
      </c>
      <c r="M90">
        <v>-1</v>
      </c>
      <c r="N90">
        <v>1.08</v>
      </c>
      <c r="O90">
        <v>-1</v>
      </c>
      <c r="P90">
        <v>-1</v>
      </c>
      <c r="Q90">
        <v>-1</v>
      </c>
    </row>
    <row r="91" spans="1:17" x14ac:dyDescent="0.25">
      <c r="A91" t="str" cm="1">
        <f t="array" ref="A91">_xlfn.SWITCH(TRUE, AND(data[[#This Row],[hour]]&gt;=6, data[[#This Row],[hour]]&lt;=11), "Morning", AND(data[[#This Row],[hour]]&gt;=12, data[[#This Row],[hour]]&lt;=17), "Afternoon", AND(data[[#This Row],[hour]]&gt;=18, data[[#This Row],[hour]]&lt;=23), "Evening", TRUE, "Night")</f>
        <v>Evening</v>
      </c>
      <c r="B91">
        <v>64.816666666666663</v>
      </c>
      <c r="C91">
        <f>IFERROR( ROUND(data[[#This Row],[kills]]/data[[#This Row],[deaths]],2), 0)</f>
        <v>1.76</v>
      </c>
      <c r="D91">
        <f>IFERROR( ROUND(data[[#This Row],[headshots]]/data[[#This Row],[kills]]*100,2),0)</f>
        <v>75.95</v>
      </c>
      <c r="E91">
        <f>ROUND(data[[#This Row],[kills]]/data[[#This Row],[session_duration_min]],2)</f>
        <v>1.22</v>
      </c>
      <c r="F91">
        <v>1.76</v>
      </c>
      <c r="G91">
        <v>-1</v>
      </c>
      <c r="H91">
        <v>-1</v>
      </c>
      <c r="I91">
        <v>-1</v>
      </c>
      <c r="J91">
        <v>75.95</v>
      </c>
      <c r="K91">
        <v>-1</v>
      </c>
      <c r="L91">
        <v>-1</v>
      </c>
      <c r="M91">
        <v>-1</v>
      </c>
      <c r="N91">
        <v>1.22</v>
      </c>
      <c r="O91">
        <v>-1</v>
      </c>
      <c r="P91">
        <v>-1</v>
      </c>
      <c r="Q91">
        <v>-1</v>
      </c>
    </row>
    <row r="92" spans="1:17" x14ac:dyDescent="0.25">
      <c r="A92" t="str" cm="1">
        <f t="array" ref="A92">_xlfn.SWITCH(TRUE, AND(data[[#This Row],[hour]]&gt;=6, data[[#This Row],[hour]]&lt;=11), "Morning", AND(data[[#This Row],[hour]]&gt;=12, data[[#This Row],[hour]]&lt;=17), "Afternoon", AND(data[[#This Row],[hour]]&gt;=18, data[[#This Row],[hour]]&lt;=23), "Evening", TRUE, "Night")</f>
        <v>Evening</v>
      </c>
      <c r="B92">
        <v>16.633333333333333</v>
      </c>
      <c r="C92">
        <f>IFERROR( ROUND(data[[#This Row],[kills]]/data[[#This Row],[deaths]],2), 0)</f>
        <v>1.58</v>
      </c>
      <c r="D92">
        <f>IFERROR( ROUND(data[[#This Row],[headshots]]/data[[#This Row],[kills]]*100,2),0)</f>
        <v>68.42</v>
      </c>
      <c r="E92">
        <f>ROUND(data[[#This Row],[kills]]/data[[#This Row],[session_duration_min]],2)</f>
        <v>1.1399999999999999</v>
      </c>
      <c r="F92">
        <v>1.58</v>
      </c>
      <c r="G92">
        <v>-1</v>
      </c>
      <c r="H92">
        <v>-1</v>
      </c>
      <c r="I92">
        <v>-1</v>
      </c>
      <c r="J92">
        <v>68.42</v>
      </c>
      <c r="K92">
        <v>-1</v>
      </c>
      <c r="L92">
        <v>-1</v>
      </c>
      <c r="M92">
        <v>-1</v>
      </c>
      <c r="N92">
        <v>1.1399999999999999</v>
      </c>
      <c r="O92">
        <v>-1</v>
      </c>
      <c r="P92">
        <v>-1</v>
      </c>
      <c r="Q92">
        <v>-1</v>
      </c>
    </row>
    <row r="93" spans="1:17" x14ac:dyDescent="0.25">
      <c r="A93" t="str" cm="1">
        <f t="array" ref="A93">_xlfn.SWITCH(TRUE, AND(data[[#This Row],[hour]]&gt;=6, data[[#This Row],[hour]]&lt;=11), "Morning", AND(data[[#This Row],[hour]]&gt;=12, data[[#This Row],[hour]]&lt;=17), "Afternoon", AND(data[[#This Row],[hour]]&gt;=18, data[[#This Row],[hour]]&lt;=23), "Evening", TRUE, "Night")</f>
        <v>Evening</v>
      </c>
      <c r="B93">
        <v>4.9333333333333336</v>
      </c>
      <c r="C93">
        <f>IFERROR( ROUND(data[[#This Row],[kills]]/data[[#This Row],[deaths]],2), 0)</f>
        <v>0</v>
      </c>
      <c r="D93">
        <f>IFERROR( ROUND(data[[#This Row],[headshots]]/data[[#This Row],[kills]]*100,2),0)</f>
        <v>0</v>
      </c>
      <c r="E93">
        <f>ROUND(data[[#This Row],[kills]]/data[[#This Row],[session_duration_min]],2)</f>
        <v>0</v>
      </c>
      <c r="F93">
        <v>0</v>
      </c>
      <c r="G93">
        <v>-1</v>
      </c>
      <c r="H93">
        <v>-1</v>
      </c>
      <c r="I93">
        <v>-1</v>
      </c>
      <c r="J93">
        <v>0</v>
      </c>
      <c r="K93">
        <v>-1</v>
      </c>
      <c r="L93">
        <v>-1</v>
      </c>
      <c r="M93">
        <v>-1</v>
      </c>
      <c r="N93">
        <v>0</v>
      </c>
      <c r="O93">
        <v>-1</v>
      </c>
      <c r="P93">
        <v>-1</v>
      </c>
      <c r="Q93">
        <v>-1</v>
      </c>
    </row>
    <row r="94" spans="1:17" x14ac:dyDescent="0.25">
      <c r="A94" t="str" cm="1">
        <f t="array" ref="A94">_xlfn.SWITCH(TRUE, AND(data[[#This Row],[hour]]&gt;=6, data[[#This Row],[hour]]&lt;=11), "Morning", AND(data[[#This Row],[hour]]&gt;=12, data[[#This Row],[hour]]&lt;=17), "Afternoon", AND(data[[#This Row],[hour]]&gt;=18, data[[#This Row],[hour]]&lt;=23), "Evening", TRUE, "Night")</f>
        <v>Evening</v>
      </c>
      <c r="B94">
        <v>35.450000000000003</v>
      </c>
      <c r="C94">
        <f>IFERROR( ROUND(data[[#This Row],[kills]]/data[[#This Row],[deaths]],2), 0)</f>
        <v>1.72</v>
      </c>
      <c r="D94">
        <f>IFERROR( ROUND(data[[#This Row],[headshots]]/data[[#This Row],[kills]]*100,2),0)</f>
        <v>74</v>
      </c>
      <c r="E94">
        <f>ROUND(data[[#This Row],[kills]]/data[[#This Row],[session_duration_min]],2)</f>
        <v>1.41</v>
      </c>
      <c r="F94">
        <v>1.72</v>
      </c>
      <c r="G94">
        <v>-1</v>
      </c>
      <c r="H94">
        <v>-1</v>
      </c>
      <c r="I94">
        <v>-1</v>
      </c>
      <c r="J94">
        <v>74</v>
      </c>
      <c r="K94">
        <v>-1</v>
      </c>
      <c r="L94">
        <v>-1</v>
      </c>
      <c r="M94">
        <v>-1</v>
      </c>
      <c r="N94">
        <v>1.41</v>
      </c>
      <c r="O94">
        <v>-1</v>
      </c>
      <c r="P94">
        <v>-1</v>
      </c>
      <c r="Q94">
        <v>-1</v>
      </c>
    </row>
    <row r="95" spans="1:17" x14ac:dyDescent="0.25">
      <c r="A95" t="str" cm="1">
        <f t="array" ref="A95">_xlfn.SWITCH(TRUE, AND(data[[#This Row],[hour]]&gt;=6, data[[#This Row],[hour]]&lt;=11), "Morning", AND(data[[#This Row],[hour]]&gt;=12, data[[#This Row],[hour]]&lt;=17), "Afternoon", AND(data[[#This Row],[hour]]&gt;=18, data[[#This Row],[hour]]&lt;=23), "Evening", TRUE, "Night")</f>
        <v>Evening</v>
      </c>
      <c r="B95">
        <v>7.5</v>
      </c>
      <c r="C95">
        <f>IFERROR( ROUND(data[[#This Row],[kills]]/data[[#This Row],[deaths]],2), 0)</f>
        <v>1.83</v>
      </c>
      <c r="D95">
        <f>IFERROR( ROUND(data[[#This Row],[headshots]]/data[[#This Row],[kills]]*100,2),0)</f>
        <v>90.91</v>
      </c>
      <c r="E95">
        <f>ROUND(data[[#This Row],[kills]]/data[[#This Row],[session_duration_min]],2)</f>
        <v>1.47</v>
      </c>
      <c r="F95">
        <v>1.83</v>
      </c>
      <c r="G95">
        <v>-1</v>
      </c>
      <c r="H95">
        <v>-1</v>
      </c>
      <c r="I95">
        <v>-1</v>
      </c>
      <c r="J95">
        <v>90.91</v>
      </c>
      <c r="K95">
        <v>-1</v>
      </c>
      <c r="L95">
        <v>-1</v>
      </c>
      <c r="M95">
        <v>-1</v>
      </c>
      <c r="N95">
        <v>1.47</v>
      </c>
      <c r="O95">
        <v>-1</v>
      </c>
      <c r="P95">
        <v>-1</v>
      </c>
      <c r="Q95">
        <v>-1</v>
      </c>
    </row>
    <row r="96" spans="1:17" x14ac:dyDescent="0.25">
      <c r="A96" t="str" cm="1">
        <f t="array" ref="A96">_xlfn.SWITCH(TRUE, AND(data[[#This Row],[hour]]&gt;=6, data[[#This Row],[hour]]&lt;=11), "Morning", AND(data[[#This Row],[hour]]&gt;=12, data[[#This Row],[hour]]&lt;=17), "Afternoon", AND(data[[#This Row],[hour]]&gt;=18, data[[#This Row],[hour]]&lt;=23), "Evening", TRUE, "Night")</f>
        <v>Evening</v>
      </c>
      <c r="B96">
        <v>16.933333333333334</v>
      </c>
      <c r="C96">
        <f>IFERROR( ROUND(data[[#This Row],[kills]]/data[[#This Row],[deaths]],2), 0)</f>
        <v>1.64</v>
      </c>
      <c r="D96">
        <f>IFERROR( ROUND(data[[#This Row],[headshots]]/data[[#This Row],[kills]]*100,2),0)</f>
        <v>88.89</v>
      </c>
      <c r="E96">
        <f>ROUND(data[[#This Row],[kills]]/data[[#This Row],[session_duration_min]],2)</f>
        <v>1.06</v>
      </c>
      <c r="F96">
        <v>1.64</v>
      </c>
      <c r="G96">
        <v>-1</v>
      </c>
      <c r="H96">
        <v>-1</v>
      </c>
      <c r="I96">
        <v>-1</v>
      </c>
      <c r="J96">
        <v>88.89</v>
      </c>
      <c r="K96">
        <v>-1</v>
      </c>
      <c r="L96">
        <v>-1</v>
      </c>
      <c r="M96">
        <v>-1</v>
      </c>
      <c r="N96">
        <v>1.06</v>
      </c>
      <c r="O96">
        <v>-1</v>
      </c>
      <c r="P96">
        <v>-1</v>
      </c>
      <c r="Q96">
        <v>-1</v>
      </c>
    </row>
    <row r="97" spans="1:17" x14ac:dyDescent="0.25">
      <c r="A97" t="str" cm="1">
        <f t="array" ref="A97">_xlfn.SWITCH(TRUE, AND(data[[#This Row],[hour]]&gt;=6, data[[#This Row],[hour]]&lt;=11), "Morning", AND(data[[#This Row],[hour]]&gt;=12, data[[#This Row],[hour]]&lt;=17), "Afternoon", AND(data[[#This Row],[hour]]&gt;=18, data[[#This Row],[hour]]&lt;=23), "Evening", TRUE, "Night")</f>
        <v>Evening</v>
      </c>
      <c r="B97">
        <v>49.216666666666669</v>
      </c>
      <c r="C97">
        <f>IFERROR( ROUND(data[[#This Row],[kills]]/data[[#This Row],[deaths]],2), 0)</f>
        <v>1.1299999999999999</v>
      </c>
      <c r="D97">
        <f>IFERROR( ROUND(data[[#This Row],[headshots]]/data[[#This Row],[kills]]*100,2),0)</f>
        <v>71.11</v>
      </c>
      <c r="E97">
        <f>ROUND(data[[#This Row],[kills]]/data[[#This Row],[session_duration_min]],2)</f>
        <v>0.91</v>
      </c>
      <c r="F97">
        <v>1.1299999999999999</v>
      </c>
      <c r="G97">
        <v>-1</v>
      </c>
      <c r="H97">
        <v>-1</v>
      </c>
      <c r="I97">
        <v>-1</v>
      </c>
      <c r="J97">
        <v>71.11</v>
      </c>
      <c r="K97">
        <v>-1</v>
      </c>
      <c r="L97">
        <v>-1</v>
      </c>
      <c r="M97">
        <v>-1</v>
      </c>
      <c r="N97">
        <v>0.91</v>
      </c>
      <c r="O97">
        <v>-1</v>
      </c>
      <c r="P97">
        <v>-1</v>
      </c>
      <c r="Q97">
        <v>-1</v>
      </c>
    </row>
    <row r="98" spans="1:17" x14ac:dyDescent="0.25">
      <c r="A98" t="str" cm="1">
        <f t="array" ref="A98">_xlfn.SWITCH(TRUE, AND(data[[#This Row],[hour]]&gt;=6, data[[#This Row],[hour]]&lt;=11), "Morning", AND(data[[#This Row],[hour]]&gt;=12, data[[#This Row],[hour]]&lt;=17), "Afternoon", AND(data[[#This Row],[hour]]&gt;=18, data[[#This Row],[hour]]&lt;=23), "Evening", TRUE, "Night")</f>
        <v>Evening</v>
      </c>
      <c r="B98">
        <v>81.23333333333332</v>
      </c>
      <c r="C98">
        <f>IFERROR( ROUND(data[[#This Row],[kills]]/data[[#This Row],[deaths]],2), 0)</f>
        <v>1.23</v>
      </c>
      <c r="D98">
        <f>IFERROR( ROUND(data[[#This Row],[headshots]]/data[[#This Row],[kills]]*100,2),0)</f>
        <v>68.48</v>
      </c>
      <c r="E98">
        <f>ROUND(data[[#This Row],[kills]]/data[[#This Row],[session_duration_min]],2)</f>
        <v>1.1299999999999999</v>
      </c>
      <c r="F98">
        <v>1.23</v>
      </c>
      <c r="G98">
        <v>-1</v>
      </c>
      <c r="H98">
        <v>-1</v>
      </c>
      <c r="I98">
        <v>-1</v>
      </c>
      <c r="J98">
        <v>68.48</v>
      </c>
      <c r="K98">
        <v>-1</v>
      </c>
      <c r="L98">
        <v>-1</v>
      </c>
      <c r="M98">
        <v>-1</v>
      </c>
      <c r="N98">
        <v>1.1299999999999999</v>
      </c>
      <c r="O98">
        <v>-1</v>
      </c>
      <c r="P98">
        <v>-1</v>
      </c>
      <c r="Q98">
        <v>-1</v>
      </c>
    </row>
    <row r="99" spans="1:17" x14ac:dyDescent="0.25">
      <c r="A99" t="str" cm="1">
        <f t="array" ref="A99">_xlfn.SWITCH(TRUE, AND(data[[#This Row],[hour]]&gt;=6, data[[#This Row],[hour]]&lt;=11), "Morning", AND(data[[#This Row],[hour]]&gt;=12, data[[#This Row],[hour]]&lt;=17), "Afternoon", AND(data[[#This Row],[hour]]&gt;=18, data[[#This Row],[hour]]&lt;=23), "Evening", TRUE, "Night")</f>
        <v>Evening</v>
      </c>
      <c r="B99">
        <v>48.883333333333333</v>
      </c>
      <c r="C99">
        <f>IFERROR( ROUND(data[[#This Row],[kills]]/data[[#This Row],[deaths]],2), 0)</f>
        <v>1.51</v>
      </c>
      <c r="D99">
        <f>IFERROR( ROUND(data[[#This Row],[headshots]]/data[[#This Row],[kills]]*100,2),0)</f>
        <v>71.430000000000007</v>
      </c>
      <c r="E99">
        <f>ROUND(data[[#This Row],[kills]]/data[[#This Row],[session_duration_min]],2)</f>
        <v>1.1499999999999999</v>
      </c>
      <c r="F99">
        <v>1.51</v>
      </c>
      <c r="G99">
        <v>-1</v>
      </c>
      <c r="H99">
        <v>-1</v>
      </c>
      <c r="I99">
        <v>-1</v>
      </c>
      <c r="J99">
        <v>71.430000000000007</v>
      </c>
      <c r="K99">
        <v>-1</v>
      </c>
      <c r="L99">
        <v>-1</v>
      </c>
      <c r="M99">
        <v>-1</v>
      </c>
      <c r="N99">
        <v>1.1499999999999999</v>
      </c>
      <c r="O99">
        <v>-1</v>
      </c>
      <c r="P99">
        <v>-1</v>
      </c>
      <c r="Q99">
        <v>-1</v>
      </c>
    </row>
    <row r="100" spans="1:17" x14ac:dyDescent="0.25">
      <c r="A100" t="str" cm="1">
        <f t="array" ref="A100">_xlfn.SWITCH(TRUE, AND(data[[#This Row],[hour]]&gt;=6, data[[#This Row],[hour]]&lt;=11), "Morning", AND(data[[#This Row],[hour]]&gt;=12, data[[#This Row],[hour]]&lt;=17), "Afternoon", AND(data[[#This Row],[hour]]&gt;=18, data[[#This Row],[hour]]&lt;=23), "Evening", TRUE, "Night")</f>
        <v>Evening</v>
      </c>
      <c r="B100">
        <v>2.2999999999999998</v>
      </c>
      <c r="C100">
        <f>IFERROR( ROUND(data[[#This Row],[kills]]/data[[#This Row],[deaths]],2), 0)</f>
        <v>0</v>
      </c>
      <c r="D100">
        <f>IFERROR( ROUND(data[[#This Row],[headshots]]/data[[#This Row],[kills]]*100,2),0)</f>
        <v>0</v>
      </c>
      <c r="E100">
        <f>ROUND(data[[#This Row],[kills]]/data[[#This Row],[session_duration_min]],2)</f>
        <v>0</v>
      </c>
      <c r="F100">
        <v>0</v>
      </c>
      <c r="G100">
        <v>-1</v>
      </c>
      <c r="H100">
        <v>-1</v>
      </c>
      <c r="I100">
        <v>-1</v>
      </c>
      <c r="J100">
        <v>0</v>
      </c>
      <c r="K100">
        <v>-1</v>
      </c>
      <c r="L100">
        <v>-1</v>
      </c>
      <c r="M100">
        <v>-1</v>
      </c>
      <c r="N100">
        <v>0</v>
      </c>
      <c r="O100">
        <v>-1</v>
      </c>
      <c r="P100">
        <v>-1</v>
      </c>
      <c r="Q100">
        <v>-1</v>
      </c>
    </row>
    <row r="101" spans="1:17" x14ac:dyDescent="0.25">
      <c r="A101" t="str" cm="1">
        <f t="array" ref="A101">_xlfn.SWITCH(TRUE, AND(data[[#This Row],[hour]]&gt;=6, data[[#This Row],[hour]]&lt;=11), "Morning", AND(data[[#This Row],[hour]]&gt;=12, data[[#This Row],[hour]]&lt;=17), "Afternoon", AND(data[[#This Row],[hour]]&gt;=18, data[[#This Row],[hour]]&lt;=23), "Evening", TRUE, "Night")</f>
        <v>Evening</v>
      </c>
      <c r="B101">
        <v>75.816666666666663</v>
      </c>
      <c r="C101">
        <f>IFERROR( ROUND(data[[#This Row],[kills]]/data[[#This Row],[deaths]],2), 0)</f>
        <v>1.18</v>
      </c>
      <c r="D101">
        <f>IFERROR( ROUND(data[[#This Row],[headshots]]/data[[#This Row],[kills]]*100,2),0)</f>
        <v>87.34</v>
      </c>
      <c r="E101">
        <f>ROUND(data[[#This Row],[kills]]/data[[#This Row],[session_duration_min]],2)</f>
        <v>1.04</v>
      </c>
      <c r="F101">
        <v>1.18</v>
      </c>
      <c r="G101">
        <v>-1</v>
      </c>
      <c r="H101">
        <v>-1</v>
      </c>
      <c r="I101">
        <v>-1</v>
      </c>
      <c r="J101">
        <v>87.34</v>
      </c>
      <c r="K101">
        <v>-1</v>
      </c>
      <c r="L101">
        <v>-1</v>
      </c>
      <c r="M101">
        <v>-1</v>
      </c>
      <c r="N101">
        <v>1.04</v>
      </c>
      <c r="O101">
        <v>-1</v>
      </c>
      <c r="P101">
        <v>-1</v>
      </c>
      <c r="Q101">
        <v>-1</v>
      </c>
    </row>
    <row r="102" spans="1:17" x14ac:dyDescent="0.25">
      <c r="A102" t="str" cm="1">
        <f t="array" ref="A102">_xlfn.SWITCH(TRUE, AND(data[[#This Row],[hour]]&gt;=6, data[[#This Row],[hour]]&lt;=11), "Morning", AND(data[[#This Row],[hour]]&gt;=12, data[[#This Row],[hour]]&lt;=17), "Afternoon", AND(data[[#This Row],[hour]]&gt;=18, data[[#This Row],[hour]]&lt;=23), "Evening", TRUE, "Night")</f>
        <v>Evening</v>
      </c>
      <c r="B102">
        <v>1.2</v>
      </c>
      <c r="C102">
        <f>IFERROR( ROUND(data[[#This Row],[kills]]/data[[#This Row],[deaths]],2), 0)</f>
        <v>0</v>
      </c>
      <c r="D102">
        <f>IFERROR( ROUND(data[[#This Row],[headshots]]/data[[#This Row],[kills]]*100,2),0)</f>
        <v>0</v>
      </c>
      <c r="E102">
        <f>ROUND(data[[#This Row],[kills]]/data[[#This Row],[session_duration_min]],2)</f>
        <v>0</v>
      </c>
      <c r="F102">
        <v>0</v>
      </c>
      <c r="G102">
        <v>-1</v>
      </c>
      <c r="H102">
        <v>-1</v>
      </c>
      <c r="I102">
        <v>-1</v>
      </c>
      <c r="J102">
        <v>0</v>
      </c>
      <c r="K102">
        <v>-1</v>
      </c>
      <c r="L102">
        <v>-1</v>
      </c>
      <c r="M102">
        <v>-1</v>
      </c>
      <c r="N102">
        <v>0</v>
      </c>
      <c r="O102">
        <v>-1</v>
      </c>
      <c r="P102">
        <v>-1</v>
      </c>
      <c r="Q102">
        <v>-1</v>
      </c>
    </row>
    <row r="103" spans="1:17" x14ac:dyDescent="0.25">
      <c r="A103" t="str" cm="1">
        <f t="array" ref="A103">_xlfn.SWITCH(TRUE, AND(data[[#This Row],[hour]]&gt;=6, data[[#This Row],[hour]]&lt;=11), "Morning", AND(data[[#This Row],[hour]]&gt;=12, data[[#This Row],[hour]]&lt;=17), "Afternoon", AND(data[[#This Row],[hour]]&gt;=18, data[[#This Row],[hour]]&lt;=23), "Evening", TRUE, "Night")</f>
        <v>Afternoon</v>
      </c>
      <c r="B103">
        <v>4.9833333333333334</v>
      </c>
      <c r="C103">
        <f>IFERROR( ROUND(data[[#This Row],[kills]]/data[[#This Row],[deaths]],2), 0)</f>
        <v>0.5</v>
      </c>
      <c r="D103">
        <f>IFERROR( ROUND(data[[#This Row],[headshots]]/data[[#This Row],[kills]]*100,2),0)</f>
        <v>66.67</v>
      </c>
      <c r="E103">
        <f>ROUND(data[[#This Row],[kills]]/data[[#This Row],[session_duration_min]],2)</f>
        <v>0.6</v>
      </c>
      <c r="F103">
        <v>-1</v>
      </c>
      <c r="G103">
        <v>-1</v>
      </c>
      <c r="H103">
        <v>-1</v>
      </c>
      <c r="I103">
        <v>0.5</v>
      </c>
      <c r="J103">
        <v>-1</v>
      </c>
      <c r="K103">
        <v>-1</v>
      </c>
      <c r="L103">
        <v>-1</v>
      </c>
      <c r="M103">
        <v>66.67</v>
      </c>
      <c r="N103">
        <v>-1</v>
      </c>
      <c r="O103">
        <v>-1</v>
      </c>
      <c r="P103">
        <v>-1</v>
      </c>
      <c r="Q103">
        <v>0.6</v>
      </c>
    </row>
    <row r="104" spans="1:17" x14ac:dyDescent="0.25">
      <c r="A104" t="str" cm="1">
        <f t="array" ref="A104">_xlfn.SWITCH(TRUE, AND(data[[#This Row],[hour]]&gt;=6, data[[#This Row],[hour]]&lt;=11), "Morning", AND(data[[#This Row],[hour]]&gt;=12, data[[#This Row],[hour]]&lt;=17), "Afternoon", AND(data[[#This Row],[hour]]&gt;=18, data[[#This Row],[hour]]&lt;=23), "Evening", TRUE, "Night")</f>
        <v>Evening</v>
      </c>
      <c r="B104">
        <v>15.633333333333333</v>
      </c>
      <c r="C104">
        <f>IFERROR( ROUND(data[[#This Row],[kills]]/data[[#This Row],[deaths]],2), 0)</f>
        <v>0.62</v>
      </c>
      <c r="D104">
        <f>IFERROR( ROUND(data[[#This Row],[headshots]]/data[[#This Row],[kills]]*100,2),0)</f>
        <v>87.5</v>
      </c>
      <c r="E104">
        <f>ROUND(data[[#This Row],[kills]]/data[[#This Row],[session_duration_min]],2)</f>
        <v>0.51</v>
      </c>
      <c r="F104">
        <v>0.62</v>
      </c>
      <c r="G104">
        <v>-1</v>
      </c>
      <c r="H104">
        <v>-1</v>
      </c>
      <c r="I104">
        <v>-1</v>
      </c>
      <c r="J104">
        <v>87.5</v>
      </c>
      <c r="K104">
        <v>-1</v>
      </c>
      <c r="L104">
        <v>-1</v>
      </c>
      <c r="M104">
        <v>-1</v>
      </c>
      <c r="N104">
        <v>0.51</v>
      </c>
      <c r="O104">
        <v>-1</v>
      </c>
      <c r="P104">
        <v>-1</v>
      </c>
      <c r="Q104">
        <v>-1</v>
      </c>
    </row>
    <row r="105" spans="1:17" x14ac:dyDescent="0.25">
      <c r="A105" t="str" cm="1">
        <f t="array" ref="A105">_xlfn.SWITCH(TRUE, AND(data[[#This Row],[hour]]&gt;=6, data[[#This Row],[hour]]&lt;=11), "Morning", AND(data[[#This Row],[hour]]&gt;=12, data[[#This Row],[hour]]&lt;=17), "Afternoon", AND(data[[#This Row],[hour]]&gt;=18, data[[#This Row],[hour]]&lt;=23), "Evening", TRUE, "Night")</f>
        <v>Evening</v>
      </c>
      <c r="B105">
        <v>59.95</v>
      </c>
      <c r="C105">
        <f>IFERROR( ROUND(data[[#This Row],[kills]]/data[[#This Row],[deaths]],2), 0)</f>
        <v>1.53</v>
      </c>
      <c r="D105">
        <f>IFERROR( ROUND(data[[#This Row],[headshots]]/data[[#This Row],[kills]]*100,2),0)</f>
        <v>81.94</v>
      </c>
      <c r="E105">
        <f>ROUND(data[[#This Row],[kills]]/data[[#This Row],[session_duration_min]],2)</f>
        <v>1.2</v>
      </c>
      <c r="F105">
        <v>1.53</v>
      </c>
      <c r="G105">
        <v>-1</v>
      </c>
      <c r="H105">
        <v>-1</v>
      </c>
      <c r="I105">
        <v>-1</v>
      </c>
      <c r="J105">
        <v>81.94</v>
      </c>
      <c r="K105">
        <v>-1</v>
      </c>
      <c r="L105">
        <v>-1</v>
      </c>
      <c r="M105">
        <v>-1</v>
      </c>
      <c r="N105">
        <v>1.2</v>
      </c>
      <c r="O105">
        <v>-1</v>
      </c>
      <c r="P105">
        <v>-1</v>
      </c>
      <c r="Q105">
        <v>-1</v>
      </c>
    </row>
    <row r="106" spans="1:17" x14ac:dyDescent="0.25">
      <c r="A106" t="str" cm="1">
        <f t="array" ref="A106">_xlfn.SWITCH(TRUE, AND(data[[#This Row],[hour]]&gt;=6, data[[#This Row],[hour]]&lt;=11), "Morning", AND(data[[#This Row],[hour]]&gt;=12, data[[#This Row],[hour]]&lt;=17), "Afternoon", AND(data[[#This Row],[hour]]&gt;=18, data[[#This Row],[hour]]&lt;=23), "Evening", TRUE, "Night")</f>
        <v>Evening</v>
      </c>
      <c r="B106">
        <v>5.8</v>
      </c>
      <c r="C106">
        <f>IFERROR( ROUND(data[[#This Row],[kills]]/data[[#This Row],[deaths]],2), 0)</f>
        <v>0.25</v>
      </c>
      <c r="D106">
        <f>IFERROR( ROUND(data[[#This Row],[headshots]]/data[[#This Row],[kills]]*100,2),0)</f>
        <v>100</v>
      </c>
      <c r="E106">
        <f>ROUND(data[[#This Row],[kills]]/data[[#This Row],[session_duration_min]],2)</f>
        <v>0.17</v>
      </c>
      <c r="F106">
        <v>0.25</v>
      </c>
      <c r="G106">
        <v>-1</v>
      </c>
      <c r="H106">
        <v>-1</v>
      </c>
      <c r="I106">
        <v>-1</v>
      </c>
      <c r="J106">
        <v>100</v>
      </c>
      <c r="K106">
        <v>-1</v>
      </c>
      <c r="L106">
        <v>-1</v>
      </c>
      <c r="M106">
        <v>-1</v>
      </c>
      <c r="N106">
        <v>0.17</v>
      </c>
      <c r="O106">
        <v>-1</v>
      </c>
      <c r="P106">
        <v>-1</v>
      </c>
      <c r="Q106">
        <v>-1</v>
      </c>
    </row>
    <row r="107" spans="1:17" x14ac:dyDescent="0.25">
      <c r="A107" t="str" cm="1">
        <f t="array" ref="A107">_xlfn.SWITCH(TRUE, AND(data[[#This Row],[hour]]&gt;=6, data[[#This Row],[hour]]&lt;=11), "Morning", AND(data[[#This Row],[hour]]&gt;=12, data[[#This Row],[hour]]&lt;=17), "Afternoon", AND(data[[#This Row],[hour]]&gt;=18, data[[#This Row],[hour]]&lt;=23), "Evening", TRUE, "Night")</f>
        <v>Evening</v>
      </c>
      <c r="B107">
        <v>8.85</v>
      </c>
      <c r="C107">
        <f>IFERROR( ROUND(data[[#This Row],[kills]]/data[[#This Row],[deaths]],2), 0)</f>
        <v>1.83</v>
      </c>
      <c r="D107">
        <f>IFERROR( ROUND(data[[#This Row],[headshots]]/data[[#This Row],[kills]]*100,2),0)</f>
        <v>81.819999999999993</v>
      </c>
      <c r="E107">
        <f>ROUND(data[[#This Row],[kills]]/data[[#This Row],[session_duration_min]],2)</f>
        <v>1.24</v>
      </c>
      <c r="F107">
        <v>1.83</v>
      </c>
      <c r="G107">
        <v>-1</v>
      </c>
      <c r="H107">
        <v>-1</v>
      </c>
      <c r="I107">
        <v>-1</v>
      </c>
      <c r="J107">
        <v>81.819999999999993</v>
      </c>
      <c r="K107">
        <v>-1</v>
      </c>
      <c r="L107">
        <v>-1</v>
      </c>
      <c r="M107">
        <v>-1</v>
      </c>
      <c r="N107">
        <v>1.24</v>
      </c>
      <c r="O107">
        <v>-1</v>
      </c>
      <c r="P107">
        <v>-1</v>
      </c>
      <c r="Q107">
        <v>-1</v>
      </c>
    </row>
    <row r="108" spans="1:17" x14ac:dyDescent="0.25">
      <c r="A108" t="str" cm="1">
        <f t="array" ref="A108">_xlfn.SWITCH(TRUE, AND(data[[#This Row],[hour]]&gt;=6, data[[#This Row],[hour]]&lt;=11), "Morning", AND(data[[#This Row],[hour]]&gt;=12, data[[#This Row],[hour]]&lt;=17), "Afternoon", AND(data[[#This Row],[hour]]&gt;=18, data[[#This Row],[hour]]&lt;=23), "Evening", TRUE, "Night")</f>
        <v>Evening</v>
      </c>
      <c r="B108">
        <v>23.85</v>
      </c>
      <c r="C108">
        <f>IFERROR( ROUND(data[[#This Row],[kills]]/data[[#This Row],[deaths]],2), 0)</f>
        <v>1.45</v>
      </c>
      <c r="D108">
        <f>IFERROR( ROUND(data[[#This Row],[headshots]]/data[[#This Row],[kills]]*100,2),0)</f>
        <v>93.1</v>
      </c>
      <c r="E108">
        <f>ROUND(data[[#This Row],[kills]]/data[[#This Row],[session_duration_min]],2)</f>
        <v>1.22</v>
      </c>
      <c r="F108">
        <v>1.45</v>
      </c>
      <c r="G108">
        <v>-1</v>
      </c>
      <c r="H108">
        <v>-1</v>
      </c>
      <c r="I108">
        <v>-1</v>
      </c>
      <c r="J108">
        <v>93.1</v>
      </c>
      <c r="K108">
        <v>-1</v>
      </c>
      <c r="L108">
        <v>-1</v>
      </c>
      <c r="M108">
        <v>-1</v>
      </c>
      <c r="N108">
        <v>1.22</v>
      </c>
      <c r="O108">
        <v>-1</v>
      </c>
      <c r="P108">
        <v>-1</v>
      </c>
      <c r="Q108">
        <v>-1</v>
      </c>
    </row>
    <row r="109" spans="1:17" x14ac:dyDescent="0.25">
      <c r="A109" t="str" cm="1">
        <f t="array" ref="A109">_xlfn.SWITCH(TRUE, AND(data[[#This Row],[hour]]&gt;=6, data[[#This Row],[hour]]&lt;=11), "Morning", AND(data[[#This Row],[hour]]&gt;=12, data[[#This Row],[hour]]&lt;=17), "Afternoon", AND(data[[#This Row],[hour]]&gt;=18, data[[#This Row],[hour]]&lt;=23), "Evening", TRUE, "Night")</f>
        <v>Evening</v>
      </c>
      <c r="B109">
        <v>14.833333333333334</v>
      </c>
      <c r="C109">
        <f>IFERROR( ROUND(data[[#This Row],[kills]]/data[[#This Row],[deaths]],2), 0)</f>
        <v>1.8</v>
      </c>
      <c r="D109">
        <f>IFERROR( ROUND(data[[#This Row],[headshots]]/data[[#This Row],[kills]]*100,2),0)</f>
        <v>88.89</v>
      </c>
      <c r="E109">
        <f>ROUND(data[[#This Row],[kills]]/data[[#This Row],[session_duration_min]],2)</f>
        <v>1.21</v>
      </c>
      <c r="F109">
        <v>1.8</v>
      </c>
      <c r="G109">
        <v>-1</v>
      </c>
      <c r="H109">
        <v>-1</v>
      </c>
      <c r="I109">
        <v>-1</v>
      </c>
      <c r="J109">
        <v>88.89</v>
      </c>
      <c r="K109">
        <v>-1</v>
      </c>
      <c r="L109">
        <v>-1</v>
      </c>
      <c r="M109">
        <v>-1</v>
      </c>
      <c r="N109">
        <v>1.21</v>
      </c>
      <c r="O109">
        <v>-1</v>
      </c>
      <c r="P109">
        <v>-1</v>
      </c>
      <c r="Q109">
        <v>-1</v>
      </c>
    </row>
    <row r="110" spans="1:17" x14ac:dyDescent="0.25">
      <c r="A110" t="str" cm="1">
        <f t="array" ref="A110">_xlfn.SWITCH(TRUE, AND(data[[#This Row],[hour]]&gt;=6, data[[#This Row],[hour]]&lt;=11), "Morning", AND(data[[#This Row],[hour]]&gt;=12, data[[#This Row],[hour]]&lt;=17), "Afternoon", AND(data[[#This Row],[hour]]&gt;=18, data[[#This Row],[hour]]&lt;=23), "Evening", TRUE, "Night")</f>
        <v>Evening</v>
      </c>
      <c r="B110">
        <v>3.0166666666666666</v>
      </c>
      <c r="C110">
        <f>IFERROR( ROUND(data[[#This Row],[kills]]/data[[#This Row],[deaths]],2), 0)</f>
        <v>0.67</v>
      </c>
      <c r="D110">
        <f>IFERROR( ROUND(data[[#This Row],[headshots]]/data[[#This Row],[kills]]*100,2),0)</f>
        <v>0</v>
      </c>
      <c r="E110">
        <f>ROUND(data[[#This Row],[kills]]/data[[#This Row],[session_duration_min]],2)</f>
        <v>0.66</v>
      </c>
      <c r="F110">
        <v>0.67</v>
      </c>
      <c r="G110">
        <v>-1</v>
      </c>
      <c r="H110">
        <v>-1</v>
      </c>
      <c r="I110">
        <v>-1</v>
      </c>
      <c r="J110">
        <v>0</v>
      </c>
      <c r="K110">
        <v>-1</v>
      </c>
      <c r="L110">
        <v>-1</v>
      </c>
      <c r="M110">
        <v>-1</v>
      </c>
      <c r="N110">
        <v>0.66</v>
      </c>
      <c r="O110">
        <v>-1</v>
      </c>
      <c r="P110">
        <v>-1</v>
      </c>
      <c r="Q110">
        <v>-1</v>
      </c>
    </row>
    <row r="111" spans="1:17" x14ac:dyDescent="0.25">
      <c r="A111" t="str" cm="1">
        <f t="array" ref="A111">_xlfn.SWITCH(TRUE, AND(data[[#This Row],[hour]]&gt;=6, data[[#This Row],[hour]]&lt;=11), "Morning", AND(data[[#This Row],[hour]]&gt;=12, data[[#This Row],[hour]]&lt;=17), "Afternoon", AND(data[[#This Row],[hour]]&gt;=18, data[[#This Row],[hour]]&lt;=23), "Evening", TRUE, "Night")</f>
        <v>Evening</v>
      </c>
      <c r="B111">
        <v>7.083333333333333</v>
      </c>
      <c r="C111">
        <f>IFERROR( ROUND(data[[#This Row],[kills]]/data[[#This Row],[deaths]],2), 0)</f>
        <v>2</v>
      </c>
      <c r="D111">
        <f>IFERROR( ROUND(data[[#This Row],[headshots]]/data[[#This Row],[kills]]*100,2),0)</f>
        <v>66.67</v>
      </c>
      <c r="E111">
        <f>ROUND(data[[#This Row],[kills]]/data[[#This Row],[session_duration_min]],2)</f>
        <v>1.69</v>
      </c>
      <c r="F111">
        <v>2</v>
      </c>
      <c r="G111">
        <v>-1</v>
      </c>
      <c r="H111">
        <v>-1</v>
      </c>
      <c r="I111">
        <v>-1</v>
      </c>
      <c r="J111">
        <v>66.67</v>
      </c>
      <c r="K111">
        <v>-1</v>
      </c>
      <c r="L111">
        <v>-1</v>
      </c>
      <c r="M111">
        <v>-1</v>
      </c>
      <c r="N111">
        <v>1.69</v>
      </c>
      <c r="O111">
        <v>-1</v>
      </c>
      <c r="P111">
        <v>-1</v>
      </c>
      <c r="Q111">
        <v>-1</v>
      </c>
    </row>
  </sheetData>
  <conditionalFormatting sqref="A1:Q111">
    <cfRule type="expression" dxfId="0" priority="1">
      <formula>ISODD(ROW())</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42FD91-2E20-4CB6-B0C5-BBC3105371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sessions</vt:lpstr>
      <vt:lpstr>calculations</vt:lpstr>
      <vt:lpstr>correlation_table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Andrii Hnoiovyi</dc:creator>
  <cp:lastModifiedBy>Andrii Hnoiovyi</cp:lastModifiedBy>
  <cp:lastPrinted>2026-10-25T11:09:07Z</cp:lastPrinted>
  <dcterms:created xsi:type="dcterms:W3CDTF">2026-10-18T08:15:49Z</dcterms:created>
  <dcterms:modified xsi:type="dcterms:W3CDTF">2026-10-25T11:10:36Z</dcterms:modified>
</cp:coreProperties>
</file>